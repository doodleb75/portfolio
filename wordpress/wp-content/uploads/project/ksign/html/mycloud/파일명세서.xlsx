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6760" windowHeight="12540" activeTab="1"/>
  </bookViews>
  <sheets>
    <sheet name="이네트너클라우드" sheetId="1" r:id="rId1"/>
    <sheet name="마이클라우드" sheetId="5" r:id="rId2"/>
    <sheet name="관리자" sheetId="4" r:id="rId3"/>
  </sheets>
  <calcPr calcId="125725"/>
</workbook>
</file>

<file path=xl/calcChain.xml><?xml version="1.0" encoding="utf-8"?>
<calcChain xmlns="http://schemas.openxmlformats.org/spreadsheetml/2006/main">
  <c r="H8" i="4"/>
  <c r="H6"/>
  <c r="H4"/>
  <c r="H3"/>
  <c r="J9"/>
  <c r="I9"/>
  <c r="H7"/>
  <c r="H5"/>
  <c r="J9" i="5"/>
  <c r="H8"/>
  <c r="I9"/>
  <c r="H4"/>
  <c r="H6"/>
  <c r="H7"/>
  <c r="H3"/>
  <c r="H5"/>
  <c r="K3" i="4" l="1"/>
  <c r="H9"/>
  <c r="H9" i="5"/>
  <c r="K3" s="1"/>
</calcChain>
</file>

<file path=xl/sharedStrings.xml><?xml version="1.0" encoding="utf-8"?>
<sst xmlns="http://schemas.openxmlformats.org/spreadsheetml/2006/main" count="1336" uniqueCount="545">
  <si>
    <t>이네트너클라우드</t>
  </si>
  <si>
    <t>서비스개요</t>
  </si>
  <si>
    <t>사업특징</t>
  </si>
  <si>
    <t>기능 및 적용기술</t>
  </si>
  <si>
    <t>활용사례</t>
  </si>
  <si>
    <t>서비스</t>
  </si>
  <si>
    <t>서비스이용안내</t>
  </si>
  <si>
    <t>가상 서버</t>
  </si>
  <si>
    <t>DB 암호화</t>
  </si>
  <si>
    <t>DB 접근제어</t>
  </si>
  <si>
    <t>방화벽</t>
  </si>
  <si>
    <t>웹방화벽</t>
  </si>
  <si>
    <t>SSL VPN</t>
  </si>
  <si>
    <t>보안서버인증서</t>
  </si>
  <si>
    <t>백업</t>
  </si>
  <si>
    <t>비이러스방역</t>
  </si>
  <si>
    <t>서버메니지먼트</t>
  </si>
  <si>
    <t>로드발란싱</t>
  </si>
  <si>
    <t>이전서비스</t>
  </si>
  <si>
    <t>운영대행</t>
  </si>
  <si>
    <t>컨설팅 및 상담</t>
  </si>
  <si>
    <t>컨설팅 및 상담안내</t>
  </si>
  <si>
    <t>상담</t>
  </si>
  <si>
    <t>고객센터</t>
  </si>
  <si>
    <t>이용가이드</t>
  </si>
  <si>
    <t>FAQ</t>
  </si>
  <si>
    <t>뉴스 및 공지사항</t>
  </si>
  <si>
    <t>자료실</t>
  </si>
  <si>
    <t>업무지원요청</t>
  </si>
  <si>
    <t>회원센터</t>
  </si>
  <si>
    <t>로그인</t>
  </si>
  <si>
    <t>회원가입</t>
  </si>
  <si>
    <t>이용약관</t>
  </si>
  <si>
    <t>개인정보취급방침</t>
  </si>
  <si>
    <t>제휴문의</t>
  </si>
  <si>
    <t>파트너안내</t>
  </si>
  <si>
    <t>사이트맵</t>
  </si>
  <si>
    <t>실시간원격지원요청</t>
  </si>
  <si>
    <t>기술업무지원요청</t>
    <phoneticPr fontId="1" type="noConversion"/>
  </si>
  <si>
    <t>실시간원격지원요청</t>
    <phoneticPr fontId="1" type="noConversion"/>
  </si>
  <si>
    <t>서비스관리</t>
  </si>
  <si>
    <t>서비스신청</t>
  </si>
  <si>
    <t>모니터링</t>
  </si>
  <si>
    <t>회원정보관리</t>
  </si>
  <si>
    <t>회원정보수정</t>
  </si>
  <si>
    <t>사업자정보수정</t>
  </si>
  <si>
    <t>명의변경</t>
  </si>
  <si>
    <t>회원탈퇴</t>
  </si>
  <si>
    <t>이용료관리</t>
  </si>
  <si>
    <t>요금관리</t>
  </si>
  <si>
    <t>서비스이용가이드</t>
  </si>
  <si>
    <t>1:1문의</t>
  </si>
  <si>
    <t>메인</t>
    <phoneticPr fontId="1" type="noConversion"/>
  </si>
  <si>
    <t>로그인 전</t>
    <phoneticPr fontId="1" type="noConversion"/>
  </si>
  <si>
    <t>로그인 후</t>
    <phoneticPr fontId="1" type="noConversion"/>
  </si>
  <si>
    <t>서비스사용정보</t>
    <phoneticPr fontId="1" type="noConversion"/>
  </si>
  <si>
    <t>서비스 목록</t>
    <phoneticPr fontId="1" type="noConversion"/>
  </si>
  <si>
    <t>서비스 상세</t>
    <phoneticPr fontId="1" type="noConversion"/>
  </si>
  <si>
    <t>DB암호화</t>
  </si>
  <si>
    <t>DB접근제어</t>
  </si>
  <si>
    <t>1:1문의결과안내</t>
  </si>
  <si>
    <t>임시 비밀번호 발급</t>
  </si>
  <si>
    <t>자원신청(변경,해지)안내</t>
  </si>
  <si>
    <t>기술지원(접수,완료)</t>
  </si>
  <si>
    <t>자원생성완료안내</t>
  </si>
  <si>
    <t>E-mail청구서(요금)</t>
  </si>
  <si>
    <t>시스템점검 및 공지</t>
  </si>
  <si>
    <t>약관변경안내</t>
  </si>
  <si>
    <t>정기메일</t>
  </si>
  <si>
    <t>보안관제</t>
  </si>
  <si>
    <t>메일인증</t>
  </si>
  <si>
    <t>구분</t>
    <phoneticPr fontId="1" type="noConversion"/>
  </si>
  <si>
    <t>D</t>
    <phoneticPr fontId="1" type="noConversion"/>
  </si>
  <si>
    <t>마이클라우드</t>
    <phoneticPr fontId="1" type="noConversion"/>
  </si>
  <si>
    <t>* 별도 탭 참조</t>
    <phoneticPr fontId="1" type="noConversion"/>
  </si>
  <si>
    <t>서비스사용중지</t>
    <phoneticPr fontId="1" type="noConversion"/>
  </si>
  <si>
    <t>3 Depth</t>
    <phoneticPr fontId="1" type="noConversion"/>
  </si>
  <si>
    <t>4 Depth</t>
    <phoneticPr fontId="1" type="noConversion"/>
  </si>
  <si>
    <t>채널</t>
    <phoneticPr fontId="1" type="noConversion"/>
  </si>
  <si>
    <t>메뉴</t>
    <phoneticPr fontId="1" type="noConversion"/>
  </si>
  <si>
    <t>비고</t>
    <phoneticPr fontId="1" type="noConversion"/>
  </si>
  <si>
    <t>경로 및 파일명</t>
    <phoneticPr fontId="1" type="noConversion"/>
  </si>
  <si>
    <t>관리자 회원가입</t>
    <phoneticPr fontId="1" type="noConversion"/>
  </si>
  <si>
    <t>고객관리</t>
    <phoneticPr fontId="1" type="noConversion"/>
  </si>
  <si>
    <t>서비스운영관리</t>
  </si>
  <si>
    <t>게시판관리</t>
  </si>
  <si>
    <t>통계</t>
  </si>
  <si>
    <t>사이트관리</t>
  </si>
  <si>
    <t>파트너관리</t>
  </si>
  <si>
    <t>내부고객관리</t>
  </si>
  <si>
    <t>파트너고객관리</t>
  </si>
  <si>
    <t>제휴관리</t>
  </si>
  <si>
    <t>기술요청</t>
  </si>
  <si>
    <t>승인관리</t>
  </si>
  <si>
    <t>서비스사용정보</t>
  </si>
  <si>
    <t>서버생성현황</t>
  </si>
  <si>
    <t>상담관리</t>
  </si>
  <si>
    <t>뉴스 및 공지사항관리</t>
  </si>
  <si>
    <t>1:1문의관리</t>
  </si>
  <si>
    <t>자료실관리</t>
  </si>
  <si>
    <t>서비스운영가이드</t>
  </si>
  <si>
    <t>서비스신청가이드</t>
  </si>
  <si>
    <t>청구관리</t>
  </si>
  <si>
    <t>수납관리</t>
  </si>
  <si>
    <t>매출통계</t>
  </si>
  <si>
    <t>미납통계</t>
  </si>
  <si>
    <t>문자관리</t>
  </si>
  <si>
    <t>메일관리</t>
  </si>
  <si>
    <t>메뉴관리</t>
  </si>
  <si>
    <t>계정관리</t>
  </si>
  <si>
    <t>메뉴관리</t>
    <phoneticPr fontId="1" type="noConversion"/>
  </si>
  <si>
    <t>메뉴권한관리</t>
    <phoneticPr fontId="1" type="noConversion"/>
  </si>
  <si>
    <t>/admin/signin.html</t>
    <phoneticPr fontId="1" type="noConversion"/>
  </si>
  <si>
    <t>/admin/main.html</t>
    <phoneticPr fontId="1" type="noConversion"/>
  </si>
  <si>
    <t>/admin/register.html</t>
    <phoneticPr fontId="1" type="noConversion"/>
  </si>
  <si>
    <t>영업승인</t>
    <phoneticPr fontId="1" type="noConversion"/>
  </si>
  <si>
    <t>운영승인</t>
    <phoneticPr fontId="1" type="noConversion"/>
  </si>
  <si>
    <t>서비스관리</t>
    <phoneticPr fontId="1" type="noConversion"/>
  </si>
  <si>
    <t>접속통계</t>
    <phoneticPr fontId="1" type="noConversion"/>
  </si>
  <si>
    <t>회원통계</t>
    <phoneticPr fontId="1" type="noConversion"/>
  </si>
  <si>
    <t>목록</t>
    <phoneticPr fontId="1" type="noConversion"/>
  </si>
  <si>
    <t>등록</t>
    <phoneticPr fontId="1" type="noConversion"/>
  </si>
  <si>
    <t>상세</t>
    <phoneticPr fontId="1" type="noConversion"/>
  </si>
  <si>
    <t>내용등록 작성</t>
    <phoneticPr fontId="1" type="noConversion"/>
  </si>
  <si>
    <t>내용등록 보기</t>
    <phoneticPr fontId="1" type="noConversion"/>
  </si>
  <si>
    <t>보기</t>
    <phoneticPr fontId="1" type="noConversion"/>
  </si>
  <si>
    <t>보기</t>
    <phoneticPr fontId="1" type="noConversion"/>
  </si>
  <si>
    <t>결제정보변경</t>
    <phoneticPr fontId="1" type="noConversion"/>
  </si>
  <si>
    <t>* 취소사유입력</t>
    <phoneticPr fontId="1" type="noConversion"/>
  </si>
  <si>
    <t>사업자등록정보</t>
    <phoneticPr fontId="1" type="noConversion"/>
  </si>
  <si>
    <t>명의변경</t>
    <phoneticPr fontId="1" type="noConversion"/>
  </si>
  <si>
    <t>서비스해지</t>
  </si>
  <si>
    <t>상품추가</t>
  </si>
  <si>
    <t>상품변경</t>
  </si>
  <si>
    <t>상품해지</t>
  </si>
  <si>
    <t>고객</t>
    <phoneticPr fontId="1" type="noConversion"/>
  </si>
  <si>
    <t>서버</t>
    <phoneticPr fontId="1" type="noConversion"/>
  </si>
  <si>
    <t>서비스신청</t>
    <phoneticPr fontId="1" type="noConversion"/>
  </si>
  <si>
    <t>신규 게시판 등록</t>
    <phoneticPr fontId="1" type="noConversion"/>
  </si>
  <si>
    <t>쓰기</t>
    <phoneticPr fontId="1" type="noConversion"/>
  </si>
  <si>
    <t>서비스별</t>
    <phoneticPr fontId="1" type="noConversion"/>
  </si>
  <si>
    <t>결제수단별</t>
    <phoneticPr fontId="1" type="noConversion"/>
  </si>
  <si>
    <t>서비스요소별</t>
    <phoneticPr fontId="1" type="noConversion"/>
  </si>
  <si>
    <t>고객별</t>
    <phoneticPr fontId="1" type="noConversion"/>
  </si>
  <si>
    <t>접속자</t>
    <phoneticPr fontId="1" type="noConversion"/>
  </si>
  <si>
    <t>페이지</t>
    <phoneticPr fontId="1" type="noConversion"/>
  </si>
  <si>
    <t>도메인</t>
    <phoneticPr fontId="1" type="noConversion"/>
  </si>
  <si>
    <t>브라우저</t>
    <phoneticPr fontId="1" type="noConversion"/>
  </si>
  <si>
    <t>회원가입완료</t>
    <phoneticPr fontId="1" type="noConversion"/>
  </si>
  <si>
    <t>* 메일폼</t>
    <phoneticPr fontId="1" type="noConversion"/>
  </si>
  <si>
    <t>/admin/site/accounts.html</t>
    <phoneticPr fontId="1" type="noConversion"/>
  </si>
  <si>
    <t>/admin/site/menu.html</t>
    <phoneticPr fontId="1" type="noConversion"/>
  </si>
  <si>
    <t>/admin/site/menu_auth.html</t>
    <phoneticPr fontId="1" type="noConversion"/>
  </si>
  <si>
    <t>/admin/site/mail.html</t>
    <phoneticPr fontId="1" type="noConversion"/>
  </si>
  <si>
    <t>/admin/site/sms.html</t>
    <phoneticPr fontId="1" type="noConversion"/>
  </si>
  <si>
    <t>/admin/statistics/members.html</t>
    <phoneticPr fontId="1" type="noConversion"/>
  </si>
  <si>
    <t>/admin/statistics/sales_service.html</t>
    <phoneticPr fontId="1" type="noConversion"/>
  </si>
  <si>
    <t>/admin/statistics/sales_paymentmeans.html</t>
    <phoneticPr fontId="1" type="noConversion"/>
  </si>
  <si>
    <t>/admin/statistics/sales_serviceitem.html</t>
    <phoneticPr fontId="1" type="noConversion"/>
  </si>
  <si>
    <t>/admin/statistics/sales_customer.html</t>
    <phoneticPr fontId="1" type="noConversion"/>
  </si>
  <si>
    <t>/admin/statistics/default.html</t>
    <phoneticPr fontId="1" type="noConversion"/>
  </si>
  <si>
    <t>/admin/statistics/conn_visitors.html</t>
    <phoneticPr fontId="1" type="noConversion"/>
  </si>
  <si>
    <t>/admin/statistics/conn_browsers.html</t>
    <phoneticPr fontId="1" type="noConversion"/>
  </si>
  <si>
    <t>/admin/statistics/conn_domains.html</t>
    <phoneticPr fontId="1" type="noConversion"/>
  </si>
  <si>
    <t>/admin/statistics/conn_pages.html</t>
    <phoneticPr fontId="1" type="noConversion"/>
  </si>
  <si>
    <t>/admin/customer/partner_view.html</t>
    <phoneticPr fontId="1" type="noConversion"/>
  </si>
  <si>
    <t>/admin/customer/partners_list.html</t>
    <phoneticPr fontId="1" type="noConversion"/>
  </si>
  <si>
    <t>/admin/customer/external_list.html</t>
    <phoneticPr fontId="1" type="noConversion"/>
  </si>
  <si>
    <t>/admin/customer/external_view.html</t>
    <phoneticPr fontId="1" type="noConversion"/>
  </si>
  <si>
    <t>/admin/customer/external_note_wirte.html</t>
    <phoneticPr fontId="1" type="noConversion"/>
  </si>
  <si>
    <t>/admin/customer/external_note_view.html</t>
    <phoneticPr fontId="1" type="noConversion"/>
  </si>
  <si>
    <t>/admin/customer/internal_view.html</t>
    <phoneticPr fontId="1" type="noConversion"/>
  </si>
  <si>
    <t>/admin/customer/internal_list.html</t>
    <phoneticPr fontId="1" type="noConversion"/>
  </si>
  <si>
    <t>/admin/customer/cooperation_list.html</t>
    <phoneticPr fontId="1" type="noConversion"/>
  </si>
  <si>
    <t>/admin/customer/cooperation_view.html</t>
    <phoneticPr fontId="1" type="noConversion"/>
  </si>
  <si>
    <t>/admin/service/request_list.html</t>
    <phoneticPr fontId="1" type="noConversion"/>
  </si>
  <si>
    <t>/admin/service/request_view.html</t>
    <phoneticPr fontId="1" type="noConversion"/>
  </si>
  <si>
    <t>/admin/boards/regular_list.html</t>
    <phoneticPr fontId="1" type="noConversion"/>
  </si>
  <si>
    <t>/admin/boards/regular_add.html</t>
    <phoneticPr fontId="1" type="noConversion"/>
  </si>
  <si>
    <t>/admin/boards/counsel_list.html</t>
    <phoneticPr fontId="1" type="noConversion"/>
  </si>
  <si>
    <t>/admin/boards/news_list.html</t>
    <phoneticPr fontId="1" type="noConversion"/>
  </si>
  <si>
    <t>/admin/boards/news_view.html</t>
    <phoneticPr fontId="1" type="noConversion"/>
  </si>
  <si>
    <t>/admin/boards/news_write.html</t>
    <phoneticPr fontId="1" type="noConversion"/>
  </si>
  <si>
    <t>/admin/boards/qna_list.html</t>
    <phoneticPr fontId="1" type="noConversion"/>
  </si>
  <si>
    <t>/admin/boards/qna_view.html</t>
    <phoneticPr fontId="1" type="noConversion"/>
  </si>
  <si>
    <t>/admin/boards/pds_list.html</t>
    <phoneticPr fontId="1" type="noConversion"/>
  </si>
  <si>
    <t>/admin/boards/pds_view.html</t>
    <phoneticPr fontId="1" type="noConversion"/>
  </si>
  <si>
    <t>/admin/boards/pds_write.html</t>
    <phoneticPr fontId="1" type="noConversion"/>
  </si>
  <si>
    <t>/admin/boards/guide_mgmt_list.html</t>
    <phoneticPr fontId="1" type="noConversion"/>
  </si>
  <si>
    <t>/admin/boards/guide_mgmt_view.html</t>
    <phoneticPr fontId="1" type="noConversion"/>
  </si>
  <si>
    <t>/admin/boards/guide_mgmt_write.html</t>
    <phoneticPr fontId="1" type="noConversion"/>
  </si>
  <si>
    <t>/admin/boards/guide_applying_list.html</t>
    <phoneticPr fontId="1" type="noConversion"/>
  </si>
  <si>
    <t>/admin/boards/guide_applying_view.html</t>
    <phoneticPr fontId="1" type="noConversion"/>
  </si>
  <si>
    <t>/admin/boards/guide_applying_write.html</t>
    <phoneticPr fontId="1" type="noConversion"/>
  </si>
  <si>
    <t>/admin/service/usage_customer.html</t>
    <phoneticPr fontId="1" type="noConversion"/>
  </si>
  <si>
    <t>/admin/service/usage_server.html</t>
    <phoneticPr fontId="1" type="noConversion"/>
  </si>
  <si>
    <t>/admin/service/server_history.html</t>
    <phoneticPr fontId="1" type="noConversion"/>
  </si>
  <si>
    <t>/admin/service/cancel_pop.html</t>
    <phoneticPr fontId="1" type="noConversion"/>
  </si>
  <si>
    <t>/admin/service/mgmt_approval.html</t>
    <phoneticPr fontId="1" type="noConversion"/>
  </si>
  <si>
    <t>/admin/service/bus_approval.html</t>
    <phoneticPr fontId="1" type="noConversion"/>
  </si>
  <si>
    <t>/admin/service/total_list.html</t>
    <phoneticPr fontId="1" type="noConversion"/>
  </si>
  <si>
    <t>/admin/service/total_each_pop.html</t>
    <phoneticPr fontId="1" type="noConversion"/>
  </si>
  <si>
    <t>코드관리</t>
    <phoneticPr fontId="1" type="noConversion"/>
  </si>
  <si>
    <t>/admin/site/codes.html</t>
    <phoneticPr fontId="1" type="noConversion"/>
  </si>
  <si>
    <t>/admin/service/busapp_payment_pop.html</t>
    <phoneticPr fontId="1" type="noConversion"/>
  </si>
  <si>
    <t>/admin/service/busapp_transfer_pop.html</t>
    <phoneticPr fontId="1" type="noConversion"/>
  </si>
  <si>
    <t>/admin/service/busapp_register_pop.html</t>
    <phoneticPr fontId="1" type="noConversion"/>
  </si>
  <si>
    <t>/admin/service/mgmtapp_prodclose_pop.html</t>
    <phoneticPr fontId="1" type="noConversion"/>
  </si>
  <si>
    <t>/admin/service/mgmtapp_prodchg_pop.html</t>
    <phoneticPr fontId="1" type="noConversion"/>
  </si>
  <si>
    <t>/admin/service/mgmtapp_prodadd_pop.html</t>
    <phoneticPr fontId="1" type="noConversion"/>
  </si>
  <si>
    <t>/admin/service/mgmtapp_open_pop.html</t>
    <phoneticPr fontId="1" type="noConversion"/>
  </si>
  <si>
    <t>/admin/service/mgmtapp_close_pop.html</t>
    <phoneticPr fontId="1" type="noConversion"/>
  </si>
  <si>
    <t>고객청수미관리</t>
  </si>
  <si>
    <t>종합이력조회</t>
  </si>
  <si>
    <t>/admin/charges/total_list_search.html</t>
  </si>
  <si>
    <t>청구납부이력</t>
  </si>
  <si>
    <t>청구내역</t>
  </si>
  <si>
    <t>/admin/charges/pay_billlist.html</t>
  </si>
  <si>
    <t>팝업</t>
  </si>
  <si>
    <t>/admin/charges/pay_billlist_popup.html</t>
  </si>
  <si>
    <t>냅부내역</t>
  </si>
  <si>
    <t>/admin/charges/pay_payment.html</t>
  </si>
  <si>
    <t>청구서발행이력</t>
  </si>
  <si>
    <t>/admin/charges/pay_history.html</t>
  </si>
  <si>
    <t>미납이력</t>
  </si>
  <si>
    <t>/admin/charges/default_billlist.html</t>
  </si>
  <si>
    <t>/admin/charges/default_payment.html</t>
  </si>
  <si>
    <t>/admin/charges/default_history.html</t>
  </si>
  <si>
    <t>요금조정이력</t>
  </si>
  <si>
    <t>/admin/charges/charge_billlist.html</t>
  </si>
  <si>
    <t>/admin/charges/charge_payment.html</t>
  </si>
  <si>
    <t>/admin/charges/charge_history.html</t>
  </si>
  <si>
    <t>환불이력</t>
  </si>
  <si>
    <t>/admin/charges/refund_billlist.html</t>
  </si>
  <si>
    <t>/admin/charges/refund_payment.html</t>
  </si>
  <si>
    <t>/admin/charges/refund_history.html</t>
  </si>
  <si>
    <t>실시간요금조회</t>
  </si>
  <si>
    <t>/admin/charges/realtime_search.html</t>
  </si>
  <si>
    <t>청구서재발행</t>
  </si>
  <si>
    <t>/admin/charges/account_reissue.html</t>
  </si>
  <si>
    <t>요금조정관리</t>
  </si>
  <si>
    <t>/admin/charges/charge_adjustment.html</t>
  </si>
  <si>
    <t>납부취소</t>
  </si>
  <si>
    <t>/admin/charges/payment_cancel.html</t>
  </si>
  <si>
    <t>청구내역조회</t>
  </si>
  <si>
    <t>조정내역조회</t>
  </si>
  <si>
    <t>청구재작업요청</t>
  </si>
  <si>
    <t>수납현황조회</t>
  </si>
  <si>
    <t>채널고객수납관리</t>
  </si>
  <si>
    <t>연체관리</t>
  </si>
  <si>
    <t>연체관리자</t>
  </si>
  <si>
    <t>채권추심대상자관리</t>
  </si>
  <si>
    <t>직권해지대상자관리</t>
  </si>
  <si>
    <t>통장환불대상자관리</t>
  </si>
  <si>
    <t>통장환불처리결과</t>
  </si>
  <si>
    <t>카드매입반송대상자관리</t>
  </si>
  <si>
    <t>/admin/charges/reissue_request.html</t>
    <phoneticPr fontId="1" type="noConversion"/>
  </si>
  <si>
    <t>/admin/charges/pay_customer.html</t>
    <phoneticPr fontId="1" type="noConversion"/>
  </si>
  <si>
    <t>/admin/charges/overdue_admin.html</t>
    <phoneticPr fontId="1" type="noConversion"/>
  </si>
  <si>
    <t>/admin/charges/overdue_debt.html</t>
    <phoneticPr fontId="1" type="noConversion"/>
  </si>
  <si>
    <t>/admin/charges/overdue_deprivation.html</t>
    <phoneticPr fontId="1" type="noConversion"/>
  </si>
  <si>
    <t>채널</t>
    <phoneticPr fontId="1" type="noConversion"/>
  </si>
  <si>
    <t>메뉴</t>
    <phoneticPr fontId="1" type="noConversion"/>
  </si>
  <si>
    <t>3 Depth</t>
    <phoneticPr fontId="1" type="noConversion"/>
  </si>
  <si>
    <t>4 Depth</t>
    <phoneticPr fontId="1" type="noConversion"/>
  </si>
  <si>
    <t>5 Depth</t>
    <phoneticPr fontId="1" type="noConversion"/>
  </si>
  <si>
    <t>경로 및 파일명</t>
    <phoneticPr fontId="1" type="noConversion"/>
  </si>
  <si>
    <t>비고</t>
    <phoneticPr fontId="1" type="noConversion"/>
  </si>
  <si>
    <t>/main_default.html</t>
    <phoneticPr fontId="1" type="noConversion"/>
  </si>
  <si>
    <t>/main_signedin.html</t>
    <phoneticPr fontId="1" type="noConversion"/>
  </si>
  <si>
    <t>/msg/svc_stopped_msg.html</t>
    <phoneticPr fontId="1" type="noConversion"/>
  </si>
  <si>
    <t>Live Chat</t>
    <phoneticPr fontId="1" type="noConversion"/>
  </si>
  <si>
    <t>/mgmt/svc_list.html</t>
    <phoneticPr fontId="1" type="noConversion"/>
  </si>
  <si>
    <t>웹보안</t>
    <phoneticPr fontId="1" type="noConversion"/>
  </si>
  <si>
    <t>/mgmt/svc_details_websecu.html</t>
    <phoneticPr fontId="1" type="noConversion"/>
  </si>
  <si>
    <t>DB보안</t>
    <phoneticPr fontId="1" type="noConversion"/>
  </si>
  <si>
    <t>서비스운영관리</t>
    <phoneticPr fontId="1" type="noConversion"/>
  </si>
  <si>
    <t>서버 및 환경설정</t>
    <phoneticPr fontId="1" type="noConversion"/>
  </si>
  <si>
    <t>/mgmt/vm_configuration.html</t>
    <phoneticPr fontId="1" type="noConversion"/>
  </si>
  <si>
    <t>서비스운영가이드</t>
    <phoneticPr fontId="1" type="noConversion"/>
  </si>
  <si>
    <t>/mgmt/vm_configuration_Guide.html</t>
    <phoneticPr fontId="1" type="noConversion"/>
  </si>
  <si>
    <t>서비스신청</t>
    <phoneticPr fontId="1" type="noConversion"/>
  </si>
  <si>
    <t>웹보안서비스신청</t>
    <phoneticPr fontId="1" type="noConversion"/>
  </si>
  <si>
    <t>/apply/pkg_websecu.html</t>
    <phoneticPr fontId="1" type="noConversion"/>
  </si>
  <si>
    <t>DB보안서비스신청</t>
    <phoneticPr fontId="1" type="noConversion"/>
  </si>
  <si>
    <t>/apply/pkg_dbsecu.html</t>
    <phoneticPr fontId="1" type="noConversion"/>
  </si>
  <si>
    <t>서비스신청가이드</t>
    <phoneticPr fontId="1" type="noConversion"/>
  </si>
  <si>
    <t>모니터링사용안내</t>
    <phoneticPr fontId="1" type="noConversion"/>
  </si>
  <si>
    <t>/monitoring/guide.html</t>
    <phoneticPr fontId="1" type="noConversion"/>
  </si>
  <si>
    <t>서버 모니터링</t>
  </si>
  <si>
    <t>D</t>
    <phoneticPr fontId="1" type="noConversion"/>
  </si>
  <si>
    <t>/mem/edit_meminfo.html</t>
    <phoneticPr fontId="1" type="noConversion"/>
  </si>
  <si>
    <t>라디오 버튼 위치</t>
    <phoneticPr fontId="1" type="noConversion"/>
  </si>
  <si>
    <t>우편번호검색</t>
    <phoneticPr fontId="1" type="noConversion"/>
  </si>
  <si>
    <t xml:space="preserve">88페이지 버튼 추가 </t>
    <phoneticPr fontId="1" type="noConversion"/>
  </si>
  <si>
    <t>/mem/quit.html</t>
    <phoneticPr fontId="1" type="noConversion"/>
  </si>
  <si>
    <t>알림</t>
    <phoneticPr fontId="1" type="noConversion"/>
  </si>
  <si>
    <t>/mem/quit_msg.html</t>
    <phoneticPr fontId="1" type="noConversion"/>
  </si>
  <si>
    <t>완료</t>
    <phoneticPr fontId="1" type="noConversion"/>
  </si>
  <si>
    <t>/mem/quit_done.html</t>
    <phoneticPr fontId="1" type="noConversion"/>
  </si>
  <si>
    <t>목록</t>
    <phoneticPr fontId="1" type="noConversion"/>
  </si>
  <si>
    <t>/support/svcguide.html</t>
    <phoneticPr fontId="1" type="noConversion"/>
  </si>
  <si>
    <t>/support/faq.html</t>
    <phoneticPr fontId="1" type="noConversion"/>
  </si>
  <si>
    <t>B</t>
    <phoneticPr fontId="1" type="noConversion"/>
  </si>
  <si>
    <t>/support/qna_list.html</t>
    <phoneticPr fontId="1" type="noConversion"/>
  </si>
  <si>
    <t>쓰기</t>
    <phoneticPr fontId="1" type="noConversion"/>
  </si>
  <si>
    <t>/support/qna_write.html</t>
    <phoneticPr fontId="1" type="noConversion"/>
  </si>
  <si>
    <t>보기</t>
    <phoneticPr fontId="1" type="noConversion"/>
  </si>
  <si>
    <t>/support/qna_view.html</t>
    <phoneticPr fontId="1" type="noConversion"/>
  </si>
  <si>
    <t>/support/news_list.html</t>
    <phoneticPr fontId="1" type="noConversion"/>
  </si>
  <si>
    <t>/support/news_view.html</t>
    <phoneticPr fontId="1" type="noConversion"/>
  </si>
  <si>
    <t>/support/pds_list.html</t>
    <phoneticPr fontId="1" type="noConversion"/>
  </si>
  <si>
    <t>/support/pds_view.html</t>
    <phoneticPr fontId="1" type="noConversion"/>
  </si>
  <si>
    <t>기술업무지원요청</t>
    <phoneticPr fontId="1" type="noConversion"/>
  </si>
  <si>
    <t>/support/ask_tech_list.html</t>
    <phoneticPr fontId="1" type="noConversion"/>
  </si>
  <si>
    <t>/support/ask_tech_write.html</t>
    <phoneticPr fontId="1" type="noConversion"/>
  </si>
  <si>
    <t>/support/ask_realtime.html</t>
    <phoneticPr fontId="1" type="noConversion"/>
  </si>
  <si>
    <t>MF</t>
    <phoneticPr fontId="1" type="noConversion"/>
  </si>
  <si>
    <t>/mail/join.html</t>
    <phoneticPr fontId="1" type="noConversion"/>
  </si>
  <si>
    <t>/mail/quit.html</t>
    <phoneticPr fontId="1" type="noConversion"/>
  </si>
  <si>
    <t>/mail/onetoone.html</t>
    <phoneticPr fontId="1" type="noConversion"/>
  </si>
  <si>
    <t>/mail/issue_password.html</t>
    <phoneticPr fontId="1" type="noConversion"/>
  </si>
  <si>
    <t>/mail/resource_change.html</t>
    <phoneticPr fontId="1" type="noConversion"/>
  </si>
  <si>
    <t>/mail/support.html</t>
    <phoneticPr fontId="1" type="noConversion"/>
  </si>
  <si>
    <t>/mail/resource_done.html</t>
    <phoneticPr fontId="1" type="noConversion"/>
  </si>
  <si>
    <t>/mail/billmail.html</t>
    <phoneticPr fontId="1" type="noConversion"/>
  </si>
  <si>
    <t>/mail/sysnotice.html</t>
    <phoneticPr fontId="1" type="noConversion"/>
  </si>
  <si>
    <t>/mail/agreement_changed.html</t>
    <phoneticPr fontId="1" type="noConversion"/>
  </si>
  <si>
    <t>/mail/regular.html</t>
    <phoneticPr fontId="1" type="noConversion"/>
  </si>
  <si>
    <t>/mail/crs.html</t>
    <phoneticPr fontId="1" type="noConversion"/>
  </si>
  <si>
    <t>/mail/secucontrol.html</t>
    <phoneticPr fontId="1" type="noConversion"/>
  </si>
  <si>
    <t>/mail/certify.html</t>
    <phoneticPr fontId="1" type="noConversion"/>
  </si>
  <si>
    <t>모델링</t>
    <phoneticPr fontId="1" type="noConversion"/>
  </si>
  <si>
    <t>요금작업관리</t>
    <phoneticPr fontId="1" type="noConversion"/>
  </si>
  <si>
    <t>정책관리</t>
    <phoneticPr fontId="1" type="noConversion"/>
  </si>
  <si>
    <t>청구주기관리</t>
    <phoneticPr fontId="1" type="noConversion"/>
  </si>
  <si>
    <t>작업스케쥴관리</t>
    <phoneticPr fontId="1" type="noConversion"/>
  </si>
  <si>
    <t>작업처리관리</t>
    <phoneticPr fontId="1" type="noConversion"/>
  </si>
  <si>
    <t>/admin/charges/refund_list.html</t>
    <phoneticPr fontId="1" type="noConversion"/>
  </si>
  <si>
    <t>/admin/charges/refund_handling.html</t>
    <phoneticPr fontId="1" type="noConversion"/>
  </si>
  <si>
    <t>/admin/charges/refund_return.html</t>
    <phoneticPr fontId="1" type="noConversion"/>
  </si>
  <si>
    <t>/admin/charges/refund_returnlist.html</t>
    <phoneticPr fontId="1" type="noConversion"/>
  </si>
  <si>
    <t>/admin/charges/charge_cycle.html</t>
    <phoneticPr fontId="1" type="noConversion"/>
  </si>
  <si>
    <t>/admin/charges/charge_handling.html</t>
    <phoneticPr fontId="1" type="noConversion"/>
  </si>
  <si>
    <t>/admin/charges/charge_list.html</t>
    <phoneticPr fontId="1" type="noConversion"/>
  </si>
  <si>
    <t>/admin/charges/adjustment_search.html</t>
    <phoneticPr fontId="1" type="noConversion"/>
  </si>
  <si>
    <t>/admin/charges/pay_list_approval.html</t>
    <phoneticPr fontId="1" type="noConversion"/>
  </si>
  <si>
    <t>/admin/charges/pay_list_purchase.html</t>
    <phoneticPr fontId="1" type="noConversion"/>
  </si>
  <si>
    <t>카드승인내역</t>
    <phoneticPr fontId="1" type="noConversion"/>
  </si>
  <si>
    <t>카드매입내역</t>
    <phoneticPr fontId="1" type="noConversion"/>
  </si>
  <si>
    <t>통장자동이체내역</t>
    <phoneticPr fontId="1" type="noConversion"/>
  </si>
  <si>
    <t>무통장입금내역</t>
    <phoneticPr fontId="1" type="noConversion"/>
  </si>
  <si>
    <t>/admin/charges/pay_list_automatic.html</t>
    <phoneticPr fontId="1" type="noConversion"/>
  </si>
  <si>
    <t>/admin/charges/pay_list_bankbook.html</t>
    <phoneticPr fontId="1" type="noConversion"/>
  </si>
  <si>
    <t>상품관리</t>
    <phoneticPr fontId="1" type="noConversion"/>
  </si>
  <si>
    <t>상품요소관리</t>
    <phoneticPr fontId="1" type="noConversion"/>
  </si>
  <si>
    <t>서비스관리</t>
    <phoneticPr fontId="1" type="noConversion"/>
  </si>
  <si>
    <t>상품요소정보관리</t>
    <phoneticPr fontId="1" type="noConversion"/>
  </si>
  <si>
    <t>신규등록</t>
    <phoneticPr fontId="1" type="noConversion"/>
  </si>
  <si>
    <t>/admin/site/goods_items.html</t>
    <phoneticPr fontId="1" type="noConversion"/>
  </si>
  <si>
    <t>/admin/site/goods_items_each.html</t>
    <phoneticPr fontId="1" type="noConversion"/>
  </si>
  <si>
    <t>/admin/site/goods_list.html</t>
    <phoneticPr fontId="1" type="noConversion"/>
  </si>
  <si>
    <t>/admin/site/goods_add.html</t>
    <phoneticPr fontId="1" type="noConversion"/>
  </si>
  <si>
    <t>/admin/site/service_list.html</t>
    <phoneticPr fontId="1" type="noConversion"/>
  </si>
  <si>
    <t>/admin/site/service_add.html</t>
    <phoneticPr fontId="1" type="noConversion"/>
  </si>
  <si>
    <t>/admin/charges/charge_schedule.html</t>
    <phoneticPr fontId="1" type="noConversion"/>
  </si>
  <si>
    <t>/admin/charges/charge_schedule_popup.html</t>
    <phoneticPr fontId="1" type="noConversion"/>
  </si>
  <si>
    <t>연체 정책관리</t>
    <phoneticPr fontId="1" type="noConversion"/>
  </si>
  <si>
    <t>환불 정책관리</t>
    <phoneticPr fontId="1" type="noConversion"/>
  </si>
  <si>
    <t>카드매입반송요청</t>
    <phoneticPr fontId="1" type="noConversion"/>
  </si>
  <si>
    <t>카드매입반송처리결과</t>
    <phoneticPr fontId="1" type="noConversion"/>
  </si>
  <si>
    <t>통장환불요청</t>
    <phoneticPr fontId="1" type="noConversion"/>
  </si>
  <si>
    <t>환불처리결과</t>
    <phoneticPr fontId="1" type="noConversion"/>
  </si>
  <si>
    <t>overdue_admin_popup.html</t>
  </si>
  <si>
    <t>팝업</t>
    <phoneticPr fontId="1" type="noConversion"/>
  </si>
  <si>
    <t>/admin/charges/policy_overdue.html</t>
    <phoneticPr fontId="1" type="noConversion"/>
  </si>
  <si>
    <t>/admin/charges/policy_refund.html</t>
    <phoneticPr fontId="1" type="noConversion"/>
  </si>
  <si>
    <t>/admin/charges/charge_cycle_popup.html</t>
    <phoneticPr fontId="1" type="noConversion"/>
  </si>
  <si>
    <t>상태</t>
    <phoneticPr fontId="1" type="noConversion"/>
  </si>
  <si>
    <t>구성요소 확인 필요</t>
    <phoneticPr fontId="1" type="noConversion"/>
  </si>
  <si>
    <t>서비스해지 - 웹보안</t>
  </si>
  <si>
    <t>서비스변경 - 디스크</t>
  </si>
  <si>
    <t>서비스상품추가 - 아이피</t>
  </si>
  <si>
    <t>서비스상품추가 - DB암호화</t>
  </si>
  <si>
    <t>서비스상품추가 - SSL VPN</t>
  </si>
  <si>
    <t>서비스상품추가 - 로드발란싱</t>
  </si>
  <si>
    <t>서비스상품변경 - 트래픽</t>
  </si>
  <si>
    <t>서비스상품변경 - 방화벽</t>
  </si>
  <si>
    <t>서비스상품변경 - 백업</t>
  </si>
  <si>
    <t>서비스복제</t>
  </si>
  <si>
    <t>아이피정보</t>
  </si>
  <si>
    <t>개발대행서비스</t>
  </si>
  <si>
    <t>상품해지 - 운영대행</t>
  </si>
  <si>
    <t>상품해지 - 로드발란싱</t>
  </si>
  <si>
    <t>상품해지 - 개발대행</t>
  </si>
  <si>
    <t>/mgmt/popup_surviceclose.html</t>
  </si>
  <si>
    <t>/mgmt/popup_diskadd.html</t>
  </si>
  <si>
    <t>/mgmt/popup_ipadd.html</t>
  </si>
  <si>
    <t>/mgmt/popup_encryption.html</t>
  </si>
  <si>
    <t>/mgmt/popup_sslvpn.html</t>
  </si>
  <si>
    <t>/mgmt/popup_loadbal.html</t>
  </si>
  <si>
    <t>/mgmt/popup_traffic.html</t>
  </si>
  <si>
    <t>/mgmt/popup_firewall.html</t>
  </si>
  <si>
    <t>/mgmt/popup_backup.html</t>
  </si>
  <si>
    <t>/mgmt/popup_servicecopy.html</t>
  </si>
  <si>
    <t>/mgmt/popup_ipinfomation.html</t>
  </si>
  <si>
    <t>/mgmt/popup_develop.html</t>
  </si>
  <si>
    <t>/mgmt/popup_relocation.html</t>
  </si>
  <si>
    <t>/mgmt/popup_crs.html</t>
  </si>
  <si>
    <t>/mgmt/popup_crsCancel.html</t>
  </si>
  <si>
    <t>/mgmt/popup_loadbalCancel.html</t>
  </si>
  <si>
    <t>/mgmt/popup_developCancel.html</t>
  </si>
  <si>
    <t>서비스신청현황</t>
    <phoneticPr fontId="1" type="noConversion"/>
  </si>
  <si>
    <t>/mgmt/svc_history.html</t>
    <phoneticPr fontId="1" type="noConversion"/>
  </si>
  <si>
    <t>서비스신청</t>
    <phoneticPr fontId="1" type="noConversion"/>
  </si>
  <si>
    <t>서비스해지</t>
    <phoneticPr fontId="1" type="noConversion"/>
  </si>
  <si>
    <t>상품추가</t>
    <phoneticPr fontId="1" type="noConversion"/>
  </si>
  <si>
    <t>상품변경</t>
    <phoneticPr fontId="1" type="noConversion"/>
  </si>
  <si>
    <t>상품해지</t>
    <phoneticPr fontId="1" type="noConversion"/>
  </si>
  <si>
    <t>/mgmt/svc_history_svcopen.html</t>
    <phoneticPr fontId="1" type="noConversion"/>
  </si>
  <si>
    <t>/mgmt/svc_history_svcclose.html</t>
    <phoneticPr fontId="1" type="noConversion"/>
  </si>
  <si>
    <t>/mgmt/svc_history_goodsadd.html</t>
    <phoneticPr fontId="1" type="noConversion"/>
  </si>
  <si>
    <t>/mgmt/svc_history_goodschange.html</t>
    <phoneticPr fontId="1" type="noConversion"/>
  </si>
  <si>
    <t>/mgmt/svc_history_goodsclose.html</t>
    <phoneticPr fontId="1" type="noConversion"/>
  </si>
  <si>
    <t>로드발란싱</t>
    <phoneticPr fontId="1" type="noConversion"/>
  </si>
  <si>
    <t>보안서버인증서</t>
    <phoneticPr fontId="1" type="noConversion"/>
  </si>
  <si>
    <t>?</t>
    <phoneticPr fontId="1" type="noConversion"/>
  </si>
  <si>
    <t>로드발란싱 *</t>
    <phoneticPr fontId="1" type="noConversion"/>
  </si>
  <si>
    <t>보안서버인증서 *</t>
    <phoneticPr fontId="1" type="noConversion"/>
  </si>
  <si>
    <t>DB암호화</t>
    <phoneticPr fontId="1" type="noConversion"/>
  </si>
  <si>
    <t>DB접근제어</t>
    <phoneticPr fontId="1" type="noConversion"/>
  </si>
  <si>
    <t>방화벽</t>
    <phoneticPr fontId="1" type="noConversion"/>
  </si>
  <si>
    <t>웹방화벽</t>
    <phoneticPr fontId="1" type="noConversion"/>
  </si>
  <si>
    <t>SSL VPN</t>
    <phoneticPr fontId="1" type="noConversion"/>
  </si>
  <si>
    <t>백업</t>
    <phoneticPr fontId="1" type="noConversion"/>
  </si>
  <si>
    <t>서버모니터링</t>
    <phoneticPr fontId="1" type="noConversion"/>
  </si>
  <si>
    <t>운영대행</t>
    <phoneticPr fontId="1" type="noConversion"/>
  </si>
  <si>
    <t>관련내용 없음</t>
    <phoneticPr fontId="1" type="noConversion"/>
  </si>
  <si>
    <t>설정</t>
    <phoneticPr fontId="1" type="noConversion"/>
  </si>
  <si>
    <t>항목 살펴보기</t>
    <phoneticPr fontId="1" type="noConversion"/>
  </si>
  <si>
    <t>/apply/guide.jsp</t>
    <phoneticPr fontId="1" type="noConversion"/>
  </si>
  <si>
    <t>D</t>
    <phoneticPr fontId="1" type="noConversion"/>
  </si>
  <si>
    <t>신청완료</t>
    <phoneticPr fontId="1" type="noConversion"/>
  </si>
  <si>
    <t>/apply/done_msg.html</t>
    <phoneticPr fontId="1" type="noConversion"/>
  </si>
  <si>
    <t>/monitoring/server.html</t>
    <phoneticPr fontId="1" type="noConversion"/>
  </si>
  <si>
    <t>/monitoring/dbencryption.html</t>
    <phoneticPr fontId="1" type="noConversion"/>
  </si>
  <si>
    <t>/monitoring/backup.html</t>
    <phoneticPr fontId="1" type="noConversion"/>
  </si>
  <si>
    <t>/monitoring/dbaccess.html</t>
    <phoneticPr fontId="1" type="noConversion"/>
  </si>
  <si>
    <t>/monitoring/webfirewall.html</t>
    <phoneticPr fontId="1" type="noConversion"/>
  </si>
  <si>
    <t>/mem/edit_meminfo_indev.html</t>
    <phoneticPr fontId="1" type="noConversion"/>
  </si>
  <si>
    <t>/mem/zipcode.html</t>
    <phoneticPr fontId="1" type="noConversion"/>
  </si>
  <si>
    <t>! 확인 필요</t>
    <phoneticPr fontId="1" type="noConversion"/>
  </si>
  <si>
    <t>보기</t>
    <phoneticPr fontId="1" type="noConversion"/>
  </si>
  <si>
    <t>/support/ask_tech_view.html</t>
    <phoneticPr fontId="1" type="noConversion"/>
  </si>
  <si>
    <t>B</t>
    <phoneticPr fontId="1" type="noConversion"/>
  </si>
  <si>
    <t>Total</t>
    <phoneticPr fontId="1" type="noConversion"/>
  </si>
  <si>
    <t>Msg</t>
    <phoneticPr fontId="1" type="noConversion"/>
  </si>
  <si>
    <t>Pop</t>
    <phoneticPr fontId="1" type="noConversion"/>
  </si>
  <si>
    <t>Pop</t>
    <phoneticPr fontId="1" type="noConversion"/>
  </si>
  <si>
    <t>Msg</t>
    <phoneticPr fontId="1" type="noConversion"/>
  </si>
  <si>
    <t>Pl</t>
    <phoneticPr fontId="1" type="noConversion"/>
  </si>
  <si>
    <t>Pl</t>
    <phoneticPr fontId="1" type="noConversion"/>
  </si>
  <si>
    <t>MF</t>
    <phoneticPr fontId="1" type="noConversion"/>
  </si>
  <si>
    <t>요금관리</t>
    <phoneticPr fontId="1" type="noConversion"/>
  </si>
  <si>
    <t>청구요금조회</t>
    <phoneticPr fontId="1" type="noConversion"/>
  </si>
  <si>
    <t>청구내역조회</t>
    <phoneticPr fontId="1" type="noConversion"/>
  </si>
  <si>
    <t>청구서발송내역조회</t>
    <phoneticPr fontId="1" type="noConversion"/>
  </si>
  <si>
    <t>실시간요금조회</t>
    <phoneticPr fontId="1" type="noConversion"/>
  </si>
  <si>
    <t>요금납부 안내 및 납부</t>
    <phoneticPr fontId="1" type="noConversion"/>
  </si>
  <si>
    <t>납부관리</t>
    <phoneticPr fontId="1" type="noConversion"/>
  </si>
  <si>
    <t>납부내역조회</t>
    <phoneticPr fontId="1" type="noConversion"/>
  </si>
  <si>
    <t>미납내역조회</t>
    <phoneticPr fontId="1" type="noConversion"/>
  </si>
  <si>
    <t>환불내역조회</t>
    <phoneticPr fontId="1" type="noConversion"/>
  </si>
  <si>
    <t>계좌관리</t>
    <phoneticPr fontId="1" type="noConversion"/>
  </si>
  <si>
    <t>결제계좌관리</t>
    <phoneticPr fontId="1" type="noConversion"/>
  </si>
  <si>
    <t>자세히보기</t>
    <phoneticPr fontId="1" type="noConversion"/>
  </si>
  <si>
    <t>요금납부</t>
    <phoneticPr fontId="1" type="noConversion"/>
  </si>
  <si>
    <t>영수증 출력</t>
    <phoneticPr fontId="1" type="noConversion"/>
  </si>
  <si>
    <t>/billing/account.html</t>
    <phoneticPr fontId="1" type="noConversion"/>
  </si>
  <si>
    <t>/billing/refund_history.html</t>
    <phoneticPr fontId="1" type="noConversion"/>
  </si>
  <si>
    <t>/billing/paid_list.html</t>
    <phoneticPr fontId="1" type="noConversion"/>
  </si>
  <si>
    <t>/billing/paid_details.html</t>
    <phoneticPr fontId="1" type="noConversion"/>
  </si>
  <si>
    <t>/billing/default_history.html</t>
    <phoneticPr fontId="1" type="noConversion"/>
  </si>
  <si>
    <t>/billing/payment.html</t>
    <phoneticPr fontId="1" type="noConversion"/>
  </si>
  <si>
    <t>/billing/payment_help.html</t>
    <phoneticPr fontId="1" type="noConversion"/>
  </si>
  <si>
    <t>/billing/charges.html</t>
    <phoneticPr fontId="1" type="noConversion"/>
  </si>
  <si>
    <t>/billing/charges_details.html</t>
    <phoneticPr fontId="1" type="noConversion"/>
  </si>
  <si>
    <t>/billing/bills_sent.html</t>
    <phoneticPr fontId="1" type="noConversion"/>
  </si>
  <si>
    <t>/billing/charges_tillnow.html</t>
    <phoneticPr fontId="1" type="noConversion"/>
  </si>
  <si>
    <t>/billing/history.html</t>
    <phoneticPr fontId="1" type="noConversion"/>
  </si>
  <si>
    <t>/mem/transfer_confirm.html</t>
    <phoneticPr fontId="1" type="noConversion"/>
  </si>
  <si>
    <t>Developmental Document</t>
    <phoneticPr fontId="1" type="noConversion"/>
  </si>
  <si>
    <t>Plain Document</t>
    <phoneticPr fontId="1" type="noConversion"/>
  </si>
  <si>
    <t>BBS</t>
    <phoneticPr fontId="1" type="noConversion"/>
  </si>
  <si>
    <t>Service Message</t>
    <phoneticPr fontId="1" type="noConversion"/>
  </si>
  <si>
    <t>Service Popup</t>
    <phoneticPr fontId="1" type="noConversion"/>
  </si>
  <si>
    <t>Mail Form</t>
    <phoneticPr fontId="1" type="noConversion"/>
  </si>
  <si>
    <t>파일명세서 | eNETner Cloud . 마이클라우드</t>
    <phoneticPr fontId="1" type="noConversion"/>
  </si>
  <si>
    <t xml:space="preserve">최종 수정일 </t>
    <phoneticPr fontId="1" type="noConversion"/>
  </si>
  <si>
    <t>작성자</t>
    <phoneticPr fontId="1" type="noConversion"/>
  </si>
  <si>
    <t>: 공인식</t>
    <phoneticPr fontId="1" type="noConversion"/>
  </si>
  <si>
    <t>V</t>
  </si>
  <si>
    <t>V</t>
    <phoneticPr fontId="1" type="noConversion"/>
  </si>
  <si>
    <t>V</t>
    <phoneticPr fontId="1" type="noConversion"/>
  </si>
  <si>
    <t>D</t>
    <phoneticPr fontId="1" type="noConversion"/>
  </si>
  <si>
    <t>Pop</t>
    <phoneticPr fontId="1" type="noConversion"/>
  </si>
  <si>
    <t>설명</t>
    <phoneticPr fontId="1" type="noConversion"/>
  </si>
  <si>
    <t>개수</t>
    <phoneticPr fontId="1" type="noConversion"/>
  </si>
  <si>
    <t>모델링</t>
    <phoneticPr fontId="1" type="noConversion"/>
  </si>
  <si>
    <t>매핑</t>
    <phoneticPr fontId="1" type="noConversion"/>
  </si>
  <si>
    <t>진척율</t>
    <phoneticPr fontId="1" type="noConversion"/>
  </si>
  <si>
    <t>-</t>
  </si>
  <si>
    <t>-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</si>
  <si>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</si>
  <si>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</si>
  <si>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</si>
  <si>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Pop</t>
  </si>
  <si>
    <t>Pop</t>
    <phoneticPr fontId="1" type="noConversion"/>
  </si>
  <si>
    <t>MF</t>
    <phoneticPr fontId="1" type="noConversion"/>
  </si>
  <si>
    <t>MF</t>
    <phoneticPr fontId="1" type="noConversion"/>
  </si>
  <si>
    <t>: 2012.01.30</t>
    <phoneticPr fontId="1" type="noConversion"/>
  </si>
  <si>
    <t>환불관리</t>
    <phoneticPr fontId="1" type="noConversion"/>
  </si>
  <si>
    <t>파일명세서 | eNETner Cloud . 관리자</t>
    <phoneticPr fontId="1" type="noConversion"/>
  </si>
  <si>
    <t>목록</t>
    <phoneticPr fontId="1" type="noConversion"/>
  </si>
  <si>
    <t>보기</t>
    <phoneticPr fontId="1" type="noConversion"/>
  </si>
  <si>
    <t>/admin/boards/counsel_view.html</t>
    <phoneticPr fontId="1" type="noConversion"/>
  </si>
  <si>
    <t>/admin/customer/partner_add.html</t>
    <phoneticPr fontId="1" type="noConversion"/>
  </si>
  <si>
    <t>청약정보수정</t>
    <phoneticPr fontId="1" type="noConversion"/>
  </si>
  <si>
    <t>납부방법 수정</t>
    <phoneticPr fontId="1" type="noConversion"/>
  </si>
  <si>
    <t>결제정보 수정</t>
    <phoneticPr fontId="1" type="noConversion"/>
  </si>
  <si>
    <t>수정내역</t>
    <phoneticPr fontId="1" type="noConversion"/>
  </si>
  <si>
    <t>수정요청</t>
    <phoneticPr fontId="1" type="noConversion"/>
  </si>
  <si>
    <t>/mem/edit_subsinfo_payment.html</t>
    <phoneticPr fontId="1" type="noConversion"/>
  </si>
  <si>
    <t>/mem/edit_subsinfo_payment_pop.html</t>
    <phoneticPr fontId="1" type="noConversion"/>
  </si>
  <si>
    <t>/mem/edit_subsinfo_billing.html</t>
    <phoneticPr fontId="1" type="noConversion"/>
  </si>
  <si>
    <t>/mem/edit_subsinfo_billing_pop.html</t>
    <phoneticPr fontId="1" type="noConversion"/>
  </si>
  <si>
    <t>/mem/edit_companyinfo.html</t>
    <phoneticPr fontId="1" type="noConversion"/>
  </si>
  <si>
    <t>/mem/edit_companyinfo_pop.html</t>
    <phoneticPr fontId="1" type="noConversion"/>
  </si>
  <si>
    <t>D</t>
    <phoneticPr fontId="1" type="noConversion"/>
  </si>
  <si>
    <t>숫자 블릿필요</t>
    <phoneticPr fontId="1" type="noConversion"/>
  </si>
  <si>
    <t>확인</t>
    <phoneticPr fontId="1" type="noConversion"/>
  </si>
  <si>
    <t>/mem/transfer.html</t>
    <phoneticPr fontId="1" type="noConversion"/>
  </si>
  <si>
    <t>/mem/transfer_pop.html</t>
    <phoneticPr fontId="1" type="noConversion"/>
  </si>
  <si>
    <t>V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</si>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</sst>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Fill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7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Fill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4" fillId="0" borderId="4" xfId="0" applyFont="1" applyFill="1" applyBorder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>
      <alignment vertical="center"/>
    </xf>
    <xf numFmtId="0" fontId="4" fillId="0" borderId="0" xfId="0" applyFont="1" applyFill="1">
      <alignment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 indent="1"/>
    </xf>
    <xf numFmtId="0" fontId="3" fillId="0" borderId="4" xfId="0" applyFont="1" applyBorder="1" applyAlignment="1">
      <alignment horizontal="right" vertical="center" inden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 inden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8" fillId="0" borderId="2" xfId="0" applyFont="1" applyFill="1" applyBorder="1">
      <alignment vertical="center"/>
    </xf>
    <xf numFmtId="0" fontId="8" fillId="0" borderId="3" xfId="0" applyFont="1" applyFill="1" applyBorder="1">
      <alignment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10" xfId="0" applyFont="1" applyBorder="1" applyAlignment="1">
      <alignment horizontal="right" vertical="center" indent="1"/>
    </xf>
    <xf numFmtId="0" fontId="9" fillId="0" borderId="7" xfId="0" applyFont="1" applyBorder="1" applyAlignment="1">
      <alignment horizontal="right" vertical="center" indent="1"/>
    </xf>
    <xf numFmtId="0" fontId="9" fillId="0" borderId="12" xfId="0" applyFont="1" applyBorder="1" applyAlignment="1">
      <alignment horizontal="right" vertical="center" indent="1"/>
    </xf>
    <xf numFmtId="0" fontId="9" fillId="0" borderId="13" xfId="0" applyFont="1" applyBorder="1" applyAlignment="1">
      <alignment horizontal="right" vertical="center" indent="1"/>
    </xf>
    <xf numFmtId="0" fontId="13" fillId="0" borderId="11" xfId="0" applyFont="1" applyBorder="1" applyAlignment="1">
      <alignment horizontal="right" vertical="center" indent="1"/>
    </xf>
    <xf numFmtId="0" fontId="13" fillId="0" borderId="6" xfId="0" applyFont="1" applyBorder="1" applyAlignment="1">
      <alignment horizontal="right" vertical="center" indent="1"/>
    </xf>
    <xf numFmtId="0" fontId="10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9" fontId="12" fillId="0" borderId="10" xfId="0" applyNumberFormat="1" applyFont="1" applyBorder="1" applyAlignment="1">
      <alignment horizontal="right" indent="1"/>
    </xf>
    <xf numFmtId="9" fontId="12" fillId="0" borderId="12" xfId="0" applyNumberFormat="1" applyFont="1" applyBorder="1" applyAlignment="1">
      <alignment horizontal="right" indent="1"/>
    </xf>
    <xf numFmtId="9" fontId="12" fillId="0" borderId="11" xfId="0" applyNumberFormat="1" applyFont="1" applyBorder="1" applyAlignment="1">
      <alignment horizontal="right" indent="1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 indent="1"/>
    </xf>
    <xf numFmtId="0" fontId="0" fillId="0" borderId="3" xfId="0" applyBorder="1" applyAlignment="1">
      <alignment horizontal="right" vertical="center" indent="1"/>
    </xf>
    <xf numFmtId="0" fontId="6" fillId="0" borderId="0" xfId="0" applyFont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-0.499984740745262"/>
  </sheetPr>
  <dimension ref="A1:C39"/>
  <sheetViews>
    <sheetView workbookViewId="0">
      <selection activeCell="B44" sqref="B44"/>
    </sheetView>
  </sheetViews>
  <sheetFormatPr defaultRowHeight="12"/>
  <cols>
    <col min="1" max="1" width="17.25" style="1" bestFit="1" customWidth="1"/>
    <col min="2" max="2" width="18.625" style="1" bestFit="1" customWidth="1"/>
    <col min="3" max="3" width="19.25" style="1" bestFit="1" customWidth="1"/>
    <col min="4" max="4" width="18.875" style="1" bestFit="1" customWidth="1"/>
    <col min="5" max="16384" width="9" style="1"/>
  </cols>
  <sheetData>
    <row r="1" spans="1:2">
      <c r="A1" s="1" t="s">
        <v>0</v>
      </c>
    </row>
    <row r="2" spans="1:2">
      <c r="B2" s="1" t="s">
        <v>1</v>
      </c>
    </row>
    <row r="3" spans="1:2">
      <c r="B3" s="1" t="s">
        <v>2</v>
      </c>
    </row>
    <row r="4" spans="1:2">
      <c r="B4" s="1" t="s">
        <v>3</v>
      </c>
    </row>
    <row r="5" spans="1:2">
      <c r="B5" s="1" t="s">
        <v>4</v>
      </c>
    </row>
    <row r="6" spans="1:2">
      <c r="A6" s="1" t="s">
        <v>5</v>
      </c>
    </row>
    <row r="7" spans="1:2">
      <c r="B7" s="1" t="s">
        <v>6</v>
      </c>
    </row>
    <row r="8" spans="1:2">
      <c r="B8" s="1" t="s">
        <v>7</v>
      </c>
    </row>
    <row r="9" spans="1:2">
      <c r="B9" s="1" t="s">
        <v>8</v>
      </c>
    </row>
    <row r="10" spans="1:2">
      <c r="B10" s="1" t="s">
        <v>9</v>
      </c>
    </row>
    <row r="11" spans="1:2">
      <c r="B11" s="1" t="s">
        <v>10</v>
      </c>
    </row>
    <row r="12" spans="1:2">
      <c r="B12" s="1" t="s">
        <v>11</v>
      </c>
    </row>
    <row r="13" spans="1:2">
      <c r="B13" s="1" t="s">
        <v>12</v>
      </c>
    </row>
    <row r="14" spans="1:2">
      <c r="B14" s="1" t="s">
        <v>13</v>
      </c>
    </row>
    <row r="15" spans="1:2">
      <c r="B15" s="1" t="s">
        <v>14</v>
      </c>
    </row>
    <row r="16" spans="1:2">
      <c r="B16" s="1" t="s">
        <v>15</v>
      </c>
    </row>
    <row r="17" spans="1:3">
      <c r="B17" s="1" t="s">
        <v>16</v>
      </c>
    </row>
    <row r="18" spans="1:3">
      <c r="B18" s="1" t="s">
        <v>17</v>
      </c>
    </row>
    <row r="19" spans="1:3">
      <c r="B19" s="1" t="s">
        <v>18</v>
      </c>
    </row>
    <row r="20" spans="1:3">
      <c r="B20" s="1" t="s">
        <v>19</v>
      </c>
    </row>
    <row r="21" spans="1:3">
      <c r="A21" s="1" t="s">
        <v>20</v>
      </c>
    </row>
    <row r="22" spans="1:3">
      <c r="B22" s="1" t="s">
        <v>21</v>
      </c>
    </row>
    <row r="23" spans="1:3">
      <c r="B23" s="1" t="s">
        <v>22</v>
      </c>
    </row>
    <row r="24" spans="1:3">
      <c r="A24" s="1" t="s">
        <v>23</v>
      </c>
    </row>
    <row r="25" spans="1:3">
      <c r="B25" s="1" t="s">
        <v>24</v>
      </c>
    </row>
    <row r="26" spans="1:3">
      <c r="B26" s="1" t="s">
        <v>25</v>
      </c>
    </row>
    <row r="27" spans="1:3">
      <c r="B27" s="1" t="s">
        <v>26</v>
      </c>
    </row>
    <row r="28" spans="1:3">
      <c r="B28" s="1" t="s">
        <v>27</v>
      </c>
    </row>
    <row r="29" spans="1:3">
      <c r="B29" s="1" t="s">
        <v>28</v>
      </c>
      <c r="C29" s="1" t="s">
        <v>38</v>
      </c>
    </row>
    <row r="30" spans="1:3">
      <c r="C30" s="1" t="s">
        <v>39</v>
      </c>
    </row>
    <row r="31" spans="1:3">
      <c r="A31" s="1" t="s">
        <v>29</v>
      </c>
    </row>
    <row r="32" spans="1:3">
      <c r="B32" s="1" t="s">
        <v>30</v>
      </c>
    </row>
    <row r="33" spans="1:2">
      <c r="B33" s="1" t="s">
        <v>31</v>
      </c>
    </row>
    <row r="34" spans="1:2">
      <c r="B34" s="1" t="s">
        <v>32</v>
      </c>
    </row>
    <row r="35" spans="1:2">
      <c r="B35" s="1" t="s">
        <v>33</v>
      </c>
    </row>
    <row r="36" spans="1:2">
      <c r="B36" s="1" t="s">
        <v>34</v>
      </c>
    </row>
    <row r="37" spans="1:2">
      <c r="B37" s="1" t="s">
        <v>35</v>
      </c>
    </row>
    <row r="38" spans="1:2">
      <c r="B38" s="1" t="s">
        <v>36</v>
      </c>
    </row>
    <row r="39" spans="1:2">
      <c r="A39" s="1" t="s">
        <v>73</v>
      </c>
      <c r="B39" s="4" t="s">
        <v>74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N120"/>
  <sheetViews>
    <sheetView tabSelected="1" workbookViewId="0">
      <pane ySplit="12" topLeftCell="A13" activePane="bottomLeft" state="frozen"/>
      <selection pane="bottomLeft" activeCell="M24" sqref="M24"/>
    </sheetView>
  </sheetViews>
  <sheetFormatPr defaultRowHeight="12"/>
  <cols>
    <col min="1" max="1" width="12.25" style="3" bestFit="1" customWidth="1"/>
    <col min="2" max="2" width="15.5" style="3" bestFit="1" customWidth="1"/>
    <col min="3" max="3" width="17.25" style="3" bestFit="1" customWidth="1"/>
    <col min="4" max="4" width="18.25" style="3" customWidth="1"/>
    <col min="5" max="5" width="22.375" style="3" bestFit="1" customWidth="1"/>
    <col min="6" max="6" width="7.75" style="5" customWidth="1"/>
    <col min="7" max="7" width="36.375" style="3" customWidth="1"/>
    <col min="8" max="10" width="9.125" style="5" customWidth="1"/>
    <col min="11" max="11" width="25" style="5" customWidth="1"/>
    <col min="12" max="16384" width="9" style="3"/>
  </cols>
  <sheetData>
    <row r="1" spans="1:14" ht="12" customHeight="1">
      <c r="A1" s="71" t="s">
        <v>497</v>
      </c>
      <c r="B1" s="71"/>
      <c r="C1" s="71"/>
      <c r="D1" s="71"/>
      <c r="E1" s="71"/>
      <c r="F1" s="67" t="s">
        <v>71</v>
      </c>
      <c r="G1" s="62" t="s">
        <v>506</v>
      </c>
      <c r="H1" s="62" t="s">
        <v>507</v>
      </c>
      <c r="I1" s="66" t="s">
        <v>298</v>
      </c>
      <c r="J1" s="66"/>
      <c r="K1" s="57" t="s">
        <v>510</v>
      </c>
    </row>
    <row r="2" spans="1:14" ht="12" customHeight="1">
      <c r="A2" s="71"/>
      <c r="B2" s="71"/>
      <c r="C2" s="71"/>
      <c r="D2" s="71"/>
      <c r="E2" s="71"/>
      <c r="F2" s="68"/>
      <c r="G2" s="63"/>
      <c r="H2" s="63"/>
      <c r="I2" s="56" t="s">
        <v>508</v>
      </c>
      <c r="J2" s="56" t="s">
        <v>509</v>
      </c>
      <c r="K2" s="58"/>
    </row>
    <row r="3" spans="1:14" ht="12" customHeight="1">
      <c r="A3" s="36"/>
      <c r="B3" s="36"/>
      <c r="C3" s="36"/>
      <c r="D3" s="36"/>
      <c r="E3" s="36"/>
      <c r="F3" s="35" t="s">
        <v>72</v>
      </c>
      <c r="G3" s="38" t="s">
        <v>491</v>
      </c>
      <c r="H3" s="32">
        <f>SUMPRODUCT(N(MID(F13:F120,1,1)="D"))</f>
        <v>31</v>
      </c>
      <c r="I3" s="50"/>
      <c r="J3" s="51"/>
      <c r="K3" s="59">
        <f>(I9*0.8+J9*0.2)/H9</f>
        <v>0.71775700934579434</v>
      </c>
    </row>
    <row r="4" spans="1:14" ht="12" customHeight="1">
      <c r="A4" s="37" t="s">
        <v>498</v>
      </c>
      <c r="B4" s="37" t="s">
        <v>520</v>
      </c>
      <c r="C4" s="36"/>
      <c r="D4" s="36"/>
      <c r="E4" s="36"/>
      <c r="F4" s="35" t="s">
        <v>460</v>
      </c>
      <c r="G4" s="38" t="s">
        <v>492</v>
      </c>
      <c r="H4" s="32">
        <f>SUMPRODUCT(N(MID(F13:F120,1,2)="Pl"))</f>
        <v>5</v>
      </c>
      <c r="I4" s="52"/>
      <c r="J4" s="53"/>
      <c r="K4" s="60"/>
    </row>
    <row r="5" spans="1:14" ht="12" customHeight="1">
      <c r="A5" s="37" t="s">
        <v>499</v>
      </c>
      <c r="B5" s="37" t="s">
        <v>500</v>
      </c>
      <c r="C5" s="36"/>
      <c r="D5" s="36"/>
      <c r="E5" s="36"/>
      <c r="F5" s="35" t="s">
        <v>454</v>
      </c>
      <c r="G5" s="38" t="s">
        <v>493</v>
      </c>
      <c r="H5" s="32">
        <f>SUMPRODUCT(N(MID(F13:F120,1,1)="B"))</f>
        <v>10</v>
      </c>
      <c r="I5" s="52"/>
      <c r="J5" s="53"/>
      <c r="K5" s="60"/>
    </row>
    <row r="6" spans="1:14" ht="12" customHeight="1">
      <c r="A6" s="36"/>
      <c r="B6" s="36"/>
      <c r="C6" s="36"/>
      <c r="D6" s="36"/>
      <c r="E6" s="36"/>
      <c r="F6" s="35" t="s">
        <v>456</v>
      </c>
      <c r="G6" s="38" t="s">
        <v>494</v>
      </c>
      <c r="H6" s="32">
        <f>SUMPRODUCT(N(MID(F13:F120,1,3)="Msg"))</f>
        <v>4</v>
      </c>
      <c r="I6" s="52"/>
      <c r="J6" s="53"/>
      <c r="K6" s="60"/>
    </row>
    <row r="7" spans="1:14" ht="12" customHeight="1">
      <c r="A7" s="36"/>
      <c r="B7" s="36"/>
      <c r="C7" s="36"/>
      <c r="D7" s="36"/>
      <c r="E7" s="36"/>
      <c r="F7" s="35" t="s">
        <v>457</v>
      </c>
      <c r="G7" s="38" t="s">
        <v>495</v>
      </c>
      <c r="H7" s="32">
        <f>SUMPRODUCT(N(MID(F13:F120,1,3)="Pop"))</f>
        <v>43</v>
      </c>
      <c r="I7" s="52"/>
      <c r="J7" s="53"/>
      <c r="K7" s="60"/>
    </row>
    <row r="8" spans="1:14" ht="12" customHeight="1">
      <c r="A8" s="36"/>
      <c r="B8" s="36"/>
      <c r="C8" s="36"/>
      <c r="D8" s="36"/>
      <c r="E8" s="36"/>
      <c r="F8" s="35" t="s">
        <v>462</v>
      </c>
      <c r="G8" s="38" t="s">
        <v>496</v>
      </c>
      <c r="H8" s="32">
        <f>SUMPRODUCT(N(MID(F13:F120,1,2)="MF"))</f>
        <v>14</v>
      </c>
      <c r="I8" s="52"/>
      <c r="J8" s="53"/>
      <c r="K8" s="60"/>
    </row>
    <row r="9" spans="1:14" ht="12" customHeight="1">
      <c r="A9" s="36"/>
      <c r="B9" s="36"/>
      <c r="C9" s="36"/>
      <c r="D9" s="36"/>
      <c r="E9" s="36"/>
      <c r="F9" s="69" t="s">
        <v>455</v>
      </c>
      <c r="G9" s="70"/>
      <c r="H9" s="33">
        <f>SUM(H3:H8)</f>
        <v>107</v>
      </c>
      <c r="I9" s="54">
        <f>SUMPRODUCT(N(MID(I13:I120,1,1)="V"))</f>
        <v>77</v>
      </c>
      <c r="J9" s="55">
        <f>SUMPRODUCT(N(MID(J13:J120,1,1)="V"))</f>
        <v>76</v>
      </c>
      <c r="K9" s="61"/>
    </row>
    <row r="10" spans="1:14" ht="12" customHeight="1">
      <c r="A10" s="18"/>
      <c r="B10" s="18"/>
      <c r="C10" s="18"/>
      <c r="D10" s="18"/>
      <c r="E10" s="18"/>
      <c r="F10" s="20"/>
      <c r="G10" s="19"/>
      <c r="H10" s="34"/>
      <c r="I10" s="34"/>
      <c r="J10" s="34"/>
      <c r="K10" s="34"/>
    </row>
    <row r="11" spans="1:14" s="2" customFormat="1">
      <c r="A11" s="67" t="s">
        <v>261</v>
      </c>
      <c r="B11" s="62" t="s">
        <v>262</v>
      </c>
      <c r="C11" s="62" t="s">
        <v>263</v>
      </c>
      <c r="D11" s="62" t="s">
        <v>264</v>
      </c>
      <c r="E11" s="62" t="s">
        <v>265</v>
      </c>
      <c r="F11" s="62" t="s">
        <v>71</v>
      </c>
      <c r="G11" s="62" t="s">
        <v>266</v>
      </c>
      <c r="H11" s="62" t="s">
        <v>512</v>
      </c>
      <c r="I11" s="64" t="s">
        <v>378</v>
      </c>
      <c r="J11" s="65"/>
      <c r="K11" s="57" t="s">
        <v>267</v>
      </c>
    </row>
    <row r="12" spans="1:14" s="2" customFormat="1">
      <c r="A12" s="68"/>
      <c r="B12" s="63"/>
      <c r="C12" s="63"/>
      <c r="D12" s="63"/>
      <c r="E12" s="63"/>
      <c r="F12" s="63"/>
      <c r="G12" s="63"/>
      <c r="H12" s="63"/>
      <c r="I12" s="56" t="s">
        <v>332</v>
      </c>
      <c r="J12" s="56" t="s">
        <v>509</v>
      </c>
      <c r="K12" s="58"/>
    </row>
    <row r="13" spans="1:14">
      <c r="A13" s="16" t="s">
        <v>52</v>
      </c>
      <c r="B13" s="17" t="s">
        <v>53</v>
      </c>
      <c r="C13" s="17"/>
      <c r="D13" s="17"/>
      <c r="E13" s="17"/>
      <c r="F13" s="8" t="s">
        <v>72</v>
      </c>
      <c r="G13" s="17" t="s">
        <v>268</v>
      </c>
      <c r="H13" s="9" t="s">
        <v>512</v>
      </c>
      <c r="I13" s="39" t="s">
        <v>502</v>
      </c>
      <c r="J13" s="39" t="s">
        <v>502</v>
      </c>
      <c r="K13" s="45"/>
    </row>
    <row r="14" spans="1:14">
      <c r="A14" s="16"/>
      <c r="B14" s="17" t="s">
        <v>54</v>
      </c>
      <c r="C14" s="17"/>
      <c r="D14" s="17"/>
      <c r="E14" s="17"/>
      <c r="F14" s="8" t="s">
        <v>72</v>
      </c>
      <c r="G14" s="17" t="s">
        <v>269</v>
      </c>
      <c r="H14" s="9" t="s">
        <v>511</v>
      </c>
      <c r="I14" s="39" t="s">
        <v>503</v>
      </c>
      <c r="J14" s="39" t="s">
        <v>502</v>
      </c>
      <c r="K14" s="45"/>
    </row>
    <row r="15" spans="1:14">
      <c r="A15" s="23"/>
      <c r="B15" s="21"/>
      <c r="C15" s="21" t="s">
        <v>75</v>
      </c>
      <c r="D15" s="21"/>
      <c r="E15" s="21"/>
      <c r="F15" s="13" t="s">
        <v>458</v>
      </c>
      <c r="G15" s="21" t="s">
        <v>270</v>
      </c>
      <c r="H15" s="22" t="s">
        <v>511</v>
      </c>
      <c r="I15" s="40"/>
      <c r="J15" s="40"/>
      <c r="K15" s="46"/>
      <c r="L15" s="27"/>
      <c r="M15" s="27"/>
      <c r="N15" s="27"/>
    </row>
    <row r="16" spans="1:14">
      <c r="A16" s="23"/>
      <c r="B16" s="21"/>
      <c r="C16" s="21" t="s">
        <v>271</v>
      </c>
      <c r="D16" s="21"/>
      <c r="E16" s="21"/>
      <c r="F16" s="13" t="s">
        <v>457</v>
      </c>
      <c r="G16" s="21"/>
      <c r="H16" s="22" t="s">
        <v>511</v>
      </c>
      <c r="I16" s="40"/>
      <c r="J16" s="40"/>
      <c r="K16" s="46"/>
      <c r="L16" s="27"/>
      <c r="M16" s="27"/>
      <c r="N16" s="27"/>
    </row>
    <row r="17" spans="1:14">
      <c r="A17" s="23" t="s">
        <v>40</v>
      </c>
      <c r="B17" s="21" t="s">
        <v>55</v>
      </c>
      <c r="C17" s="21" t="s">
        <v>56</v>
      </c>
      <c r="D17" s="21"/>
      <c r="E17" s="21"/>
      <c r="F17" s="13" t="s">
        <v>72</v>
      </c>
      <c r="G17" s="21" t="s">
        <v>272</v>
      </c>
      <c r="H17" s="22" t="s">
        <v>511</v>
      </c>
      <c r="I17" s="40" t="s">
        <v>501</v>
      </c>
      <c r="J17" s="40" t="s">
        <v>501</v>
      </c>
      <c r="K17" s="46"/>
      <c r="L17" s="27"/>
      <c r="M17" s="27"/>
      <c r="N17" s="27"/>
    </row>
    <row r="18" spans="1:14">
      <c r="A18" s="23"/>
      <c r="B18" s="21"/>
      <c r="C18" s="21" t="s">
        <v>57</v>
      </c>
      <c r="D18" s="21" t="s">
        <v>273</v>
      </c>
      <c r="E18" s="21"/>
      <c r="F18" s="13" t="s">
        <v>72</v>
      </c>
      <c r="G18" s="21" t="s">
        <v>274</v>
      </c>
      <c r="H18" s="22" t="s">
        <v>511</v>
      </c>
      <c r="I18" s="40" t="s">
        <v>501</v>
      </c>
      <c r="J18" s="40" t="s">
        <v>501</v>
      </c>
      <c r="K18" s="46" t="s">
        <v>379</v>
      </c>
      <c r="L18" s="27"/>
      <c r="M18" s="27"/>
      <c r="N18" s="27"/>
    </row>
    <row r="19" spans="1:14">
      <c r="A19" s="23"/>
      <c r="B19" s="21"/>
      <c r="C19" s="21"/>
      <c r="D19" s="21" t="s">
        <v>275</v>
      </c>
      <c r="E19" s="21"/>
      <c r="F19" s="13" t="s">
        <v>72</v>
      </c>
      <c r="G19" s="21" t="s">
        <v>274</v>
      </c>
      <c r="H19" s="22" t="s">
        <v>511</v>
      </c>
      <c r="I19" s="40" t="s">
        <v>501</v>
      </c>
      <c r="J19" s="40" t="s">
        <v>501</v>
      </c>
      <c r="K19" s="46" t="s">
        <v>379</v>
      </c>
      <c r="L19" s="27"/>
      <c r="M19" s="27"/>
      <c r="N19" s="27"/>
    </row>
    <row r="20" spans="1:14">
      <c r="A20" s="23"/>
      <c r="B20" s="21"/>
      <c r="C20" s="21"/>
      <c r="D20" s="21"/>
      <c r="E20" s="21" t="s">
        <v>380</v>
      </c>
      <c r="F20" s="13" t="s">
        <v>457</v>
      </c>
      <c r="G20" s="21" t="s">
        <v>395</v>
      </c>
      <c r="H20" s="22" t="s">
        <v>511</v>
      </c>
      <c r="I20" s="40" t="s">
        <v>501</v>
      </c>
      <c r="J20" s="40" t="s">
        <v>501</v>
      </c>
      <c r="K20" s="46"/>
      <c r="L20" s="27"/>
      <c r="M20" s="27"/>
      <c r="N20" s="27"/>
    </row>
    <row r="21" spans="1:14">
      <c r="A21" s="23"/>
      <c r="B21" s="21"/>
      <c r="C21" s="21"/>
      <c r="D21" s="21"/>
      <c r="E21" s="21" t="s">
        <v>381</v>
      </c>
      <c r="F21" s="13" t="s">
        <v>457</v>
      </c>
      <c r="G21" s="21" t="s">
        <v>396</v>
      </c>
      <c r="H21" s="22" t="s">
        <v>511</v>
      </c>
      <c r="I21" s="40" t="s">
        <v>501</v>
      </c>
      <c r="J21" s="40" t="s">
        <v>501</v>
      </c>
      <c r="K21" s="46"/>
      <c r="L21" s="27"/>
      <c r="M21" s="27"/>
      <c r="N21" s="27"/>
    </row>
    <row r="22" spans="1:14">
      <c r="A22" s="23"/>
      <c r="B22" s="21"/>
      <c r="C22" s="21"/>
      <c r="D22" s="21"/>
      <c r="E22" s="21" t="s">
        <v>382</v>
      </c>
      <c r="F22" s="13" t="s">
        <v>457</v>
      </c>
      <c r="G22" s="21" t="s">
        <v>397</v>
      </c>
      <c r="H22" s="22" t="s">
        <v>511</v>
      </c>
      <c r="I22" s="40" t="s">
        <v>501</v>
      </c>
      <c r="J22" s="40" t="s">
        <v>501</v>
      </c>
      <c r="K22" s="46"/>
      <c r="L22" s="27"/>
      <c r="M22" s="27"/>
      <c r="N22" s="27"/>
    </row>
    <row r="23" spans="1:14">
      <c r="A23" s="23"/>
      <c r="B23" s="21"/>
      <c r="C23" s="21"/>
      <c r="D23" s="21"/>
      <c r="E23" s="21" t="s">
        <v>383</v>
      </c>
      <c r="F23" s="13" t="s">
        <v>457</v>
      </c>
      <c r="G23" s="21" t="s">
        <v>398</v>
      </c>
      <c r="H23" s="22" t="s">
        <v>511</v>
      </c>
      <c r="I23" s="40" t="s">
        <v>501</v>
      </c>
      <c r="J23" s="40" t="s">
        <v>501</v>
      </c>
      <c r="K23" s="46"/>
      <c r="L23" s="27"/>
      <c r="M23" s="27"/>
      <c r="N23" s="27"/>
    </row>
    <row r="24" spans="1:14">
      <c r="A24" s="23"/>
      <c r="B24" s="21"/>
      <c r="C24" s="21"/>
      <c r="D24" s="21"/>
      <c r="E24" s="21" t="s">
        <v>384</v>
      </c>
      <c r="F24" s="13" t="s">
        <v>457</v>
      </c>
      <c r="G24" s="21" t="s">
        <v>399</v>
      </c>
      <c r="H24" s="22" t="s">
        <v>511</v>
      </c>
      <c r="I24" s="40" t="s">
        <v>501</v>
      </c>
      <c r="J24" s="40" t="s">
        <v>501</v>
      </c>
      <c r="K24" s="46"/>
      <c r="L24" s="27"/>
      <c r="M24" s="27"/>
      <c r="N24" s="27"/>
    </row>
    <row r="25" spans="1:14">
      <c r="A25" s="23"/>
      <c r="B25" s="21"/>
      <c r="C25" s="21"/>
      <c r="D25" s="21"/>
      <c r="E25" s="21" t="s">
        <v>385</v>
      </c>
      <c r="F25" s="13" t="s">
        <v>457</v>
      </c>
      <c r="G25" s="21" t="s">
        <v>400</v>
      </c>
      <c r="H25" s="22" t="s">
        <v>511</v>
      </c>
      <c r="I25" s="40" t="s">
        <v>501</v>
      </c>
      <c r="J25" s="40" t="s">
        <v>501</v>
      </c>
      <c r="K25" s="46"/>
      <c r="L25" s="27"/>
      <c r="M25" s="27"/>
      <c r="N25" s="27"/>
    </row>
    <row r="26" spans="1:14">
      <c r="A26" s="23"/>
      <c r="B26" s="21"/>
      <c r="C26" s="21"/>
      <c r="D26" s="21"/>
      <c r="E26" s="21" t="s">
        <v>386</v>
      </c>
      <c r="F26" s="13" t="s">
        <v>457</v>
      </c>
      <c r="G26" s="21" t="s">
        <v>401</v>
      </c>
      <c r="H26" s="22" t="s">
        <v>511</v>
      </c>
      <c r="I26" s="40" t="s">
        <v>501</v>
      </c>
      <c r="J26" s="40" t="s">
        <v>501</v>
      </c>
      <c r="K26" s="46"/>
      <c r="L26" s="27"/>
      <c r="M26" s="27"/>
      <c r="N26" s="27"/>
    </row>
    <row r="27" spans="1:14">
      <c r="A27" s="23"/>
      <c r="B27" s="21"/>
      <c r="C27" s="21"/>
      <c r="D27" s="21"/>
      <c r="E27" s="21" t="s">
        <v>387</v>
      </c>
      <c r="F27" s="13" t="s">
        <v>457</v>
      </c>
      <c r="G27" s="21" t="s">
        <v>402</v>
      </c>
      <c r="H27" s="22" t="s">
        <v>511</v>
      </c>
      <c r="I27" s="40" t="s">
        <v>501</v>
      </c>
      <c r="J27" s="40" t="s">
        <v>501</v>
      </c>
      <c r="K27" s="46"/>
      <c r="L27" s="27"/>
      <c r="M27" s="27"/>
      <c r="N27" s="27"/>
    </row>
    <row r="28" spans="1:14">
      <c r="A28" s="23"/>
      <c r="B28" s="21"/>
      <c r="C28" s="21"/>
      <c r="D28" s="21"/>
      <c r="E28" s="21" t="s">
        <v>388</v>
      </c>
      <c r="F28" s="13" t="s">
        <v>457</v>
      </c>
      <c r="G28" s="21" t="s">
        <v>403</v>
      </c>
      <c r="H28" s="22" t="s">
        <v>511</v>
      </c>
      <c r="I28" s="40" t="s">
        <v>501</v>
      </c>
      <c r="J28" s="40" t="s">
        <v>501</v>
      </c>
      <c r="K28" s="46"/>
      <c r="L28" s="27"/>
      <c r="M28" s="27"/>
      <c r="N28" s="27"/>
    </row>
    <row r="29" spans="1:14">
      <c r="A29" s="23"/>
      <c r="B29" s="21"/>
      <c r="C29" s="21"/>
      <c r="D29" s="21"/>
      <c r="E29" s="21" t="s">
        <v>389</v>
      </c>
      <c r="F29" s="13" t="s">
        <v>457</v>
      </c>
      <c r="G29" s="21" t="s">
        <v>404</v>
      </c>
      <c r="H29" s="22" t="s">
        <v>511</v>
      </c>
      <c r="I29" s="40" t="s">
        <v>501</v>
      </c>
      <c r="J29" s="40" t="s">
        <v>501</v>
      </c>
      <c r="K29" s="46"/>
      <c r="L29" s="27"/>
      <c r="M29" s="27"/>
      <c r="N29" s="27"/>
    </row>
    <row r="30" spans="1:14">
      <c r="A30" s="23"/>
      <c r="B30" s="21"/>
      <c r="C30" s="21"/>
      <c r="D30" s="21"/>
      <c r="E30" s="21" t="s">
        <v>390</v>
      </c>
      <c r="F30" s="13" t="s">
        <v>457</v>
      </c>
      <c r="G30" s="21" t="s">
        <v>405</v>
      </c>
      <c r="H30" s="22" t="s">
        <v>511</v>
      </c>
      <c r="I30" s="40" t="s">
        <v>501</v>
      </c>
      <c r="J30" s="40" t="s">
        <v>501</v>
      </c>
      <c r="K30" s="46"/>
      <c r="L30" s="27"/>
      <c r="M30" s="27"/>
      <c r="N30" s="27"/>
    </row>
    <row r="31" spans="1:14">
      <c r="A31" s="23"/>
      <c r="B31" s="21"/>
      <c r="C31" s="21"/>
      <c r="D31" s="21"/>
      <c r="E31" s="21" t="s">
        <v>391</v>
      </c>
      <c r="F31" s="13" t="s">
        <v>457</v>
      </c>
      <c r="G31" s="21" t="s">
        <v>406</v>
      </c>
      <c r="H31" s="22" t="s">
        <v>511</v>
      </c>
      <c r="I31" s="40" t="s">
        <v>501</v>
      </c>
      <c r="J31" s="40" t="s">
        <v>501</v>
      </c>
      <c r="K31" s="46"/>
      <c r="L31" s="27"/>
      <c r="M31" s="27"/>
      <c r="N31" s="27"/>
    </row>
    <row r="32" spans="1:14">
      <c r="A32" s="23"/>
      <c r="B32" s="21"/>
      <c r="C32" s="21"/>
      <c r="D32" s="21"/>
      <c r="E32" s="21" t="s">
        <v>18</v>
      </c>
      <c r="F32" s="13" t="s">
        <v>457</v>
      </c>
      <c r="G32" s="21" t="s">
        <v>407</v>
      </c>
      <c r="H32" s="22" t="s">
        <v>511</v>
      </c>
      <c r="I32" s="40" t="s">
        <v>501</v>
      </c>
      <c r="J32" s="40" t="s">
        <v>501</v>
      </c>
      <c r="K32" s="46"/>
      <c r="L32" s="27"/>
      <c r="M32" s="27"/>
      <c r="N32" s="27"/>
    </row>
    <row r="33" spans="1:14">
      <c r="A33" s="23"/>
      <c r="B33" s="21"/>
      <c r="C33" s="21"/>
      <c r="D33" s="21"/>
      <c r="E33" s="21" t="s">
        <v>19</v>
      </c>
      <c r="F33" s="13" t="s">
        <v>457</v>
      </c>
      <c r="G33" s="21" t="s">
        <v>408</v>
      </c>
      <c r="H33" s="22" t="s">
        <v>511</v>
      </c>
      <c r="I33" s="40" t="s">
        <v>501</v>
      </c>
      <c r="J33" s="40" t="s">
        <v>501</v>
      </c>
      <c r="K33" s="46"/>
      <c r="L33" s="27"/>
      <c r="M33" s="27"/>
      <c r="N33" s="27"/>
    </row>
    <row r="34" spans="1:14">
      <c r="A34" s="23"/>
      <c r="B34" s="21"/>
      <c r="C34" s="21"/>
      <c r="D34" s="21"/>
      <c r="E34" s="21" t="s">
        <v>392</v>
      </c>
      <c r="F34" s="13" t="s">
        <v>457</v>
      </c>
      <c r="G34" s="21" t="s">
        <v>409</v>
      </c>
      <c r="H34" s="22" t="s">
        <v>511</v>
      </c>
      <c r="I34" s="40" t="s">
        <v>501</v>
      </c>
      <c r="J34" s="40" t="s">
        <v>501</v>
      </c>
      <c r="K34" s="46"/>
      <c r="L34" s="27"/>
      <c r="M34" s="27"/>
      <c r="N34" s="27"/>
    </row>
    <row r="35" spans="1:14">
      <c r="A35" s="23"/>
      <c r="B35" s="21"/>
      <c r="C35" s="21"/>
      <c r="D35" s="21"/>
      <c r="E35" s="21" t="s">
        <v>393</v>
      </c>
      <c r="F35" s="13" t="s">
        <v>457</v>
      </c>
      <c r="G35" s="21" t="s">
        <v>410</v>
      </c>
      <c r="H35" s="22" t="s">
        <v>511</v>
      </c>
      <c r="I35" s="40" t="s">
        <v>501</v>
      </c>
      <c r="J35" s="40" t="s">
        <v>501</v>
      </c>
      <c r="K35" s="46"/>
      <c r="L35" s="27"/>
      <c r="M35" s="27"/>
      <c r="N35" s="27"/>
    </row>
    <row r="36" spans="1:14">
      <c r="A36" s="23"/>
      <c r="B36" s="21"/>
      <c r="C36" s="21"/>
      <c r="D36" s="21"/>
      <c r="E36" s="21" t="s">
        <v>394</v>
      </c>
      <c r="F36" s="13" t="s">
        <v>457</v>
      </c>
      <c r="G36" s="21" t="s">
        <v>411</v>
      </c>
      <c r="H36" s="22" t="s">
        <v>511</v>
      </c>
      <c r="I36" s="40" t="s">
        <v>501</v>
      </c>
      <c r="J36" s="40" t="s">
        <v>501</v>
      </c>
      <c r="K36" s="46"/>
      <c r="L36" s="27"/>
      <c r="M36" s="27"/>
      <c r="N36" s="27"/>
    </row>
    <row r="37" spans="1:14">
      <c r="A37" s="23"/>
      <c r="B37" s="21" t="s">
        <v>412</v>
      </c>
      <c r="C37" s="21"/>
      <c r="D37" s="21"/>
      <c r="E37" s="21"/>
      <c r="F37" s="13" t="s">
        <v>72</v>
      </c>
      <c r="G37" s="21" t="s">
        <v>413</v>
      </c>
      <c r="H37" s="22" t="s">
        <v>511</v>
      </c>
      <c r="I37" s="40" t="s">
        <v>501</v>
      </c>
      <c r="J37" s="40" t="s">
        <v>501</v>
      </c>
      <c r="K37" s="46"/>
      <c r="L37" s="27"/>
      <c r="M37" s="27"/>
      <c r="N37" s="27"/>
    </row>
    <row r="38" spans="1:14">
      <c r="A38" s="23"/>
      <c r="B38" s="21"/>
      <c r="C38" s="21" t="s">
        <v>414</v>
      </c>
      <c r="D38" s="21"/>
      <c r="E38" s="21"/>
      <c r="F38" s="13" t="s">
        <v>457</v>
      </c>
      <c r="G38" s="21" t="s">
        <v>419</v>
      </c>
      <c r="H38" s="22" t="s">
        <v>511</v>
      </c>
      <c r="I38" s="40" t="s">
        <v>501</v>
      </c>
      <c r="J38" s="40" t="s">
        <v>501</v>
      </c>
      <c r="K38" s="46"/>
      <c r="L38" s="27"/>
      <c r="M38" s="27"/>
      <c r="N38" s="27"/>
    </row>
    <row r="39" spans="1:14">
      <c r="A39" s="23"/>
      <c r="B39" s="21"/>
      <c r="C39" s="21" t="s">
        <v>415</v>
      </c>
      <c r="D39" s="21"/>
      <c r="E39" s="21"/>
      <c r="F39" s="13" t="s">
        <v>457</v>
      </c>
      <c r="G39" s="21" t="s">
        <v>420</v>
      </c>
      <c r="H39" s="22" t="s">
        <v>511</v>
      </c>
      <c r="I39" s="40" t="s">
        <v>501</v>
      </c>
      <c r="J39" s="40" t="s">
        <v>501</v>
      </c>
      <c r="K39" s="46"/>
      <c r="L39" s="27"/>
      <c r="M39" s="27"/>
      <c r="N39" s="27"/>
    </row>
    <row r="40" spans="1:14">
      <c r="A40" s="23"/>
      <c r="B40" s="21"/>
      <c r="C40" s="21" t="s">
        <v>416</v>
      </c>
      <c r="D40" s="21"/>
      <c r="E40" s="21"/>
      <c r="F40" s="13" t="s">
        <v>457</v>
      </c>
      <c r="G40" s="21" t="s">
        <v>421</v>
      </c>
      <c r="H40" s="22" t="s">
        <v>511</v>
      </c>
      <c r="I40" s="40" t="s">
        <v>501</v>
      </c>
      <c r="J40" s="40" t="s">
        <v>501</v>
      </c>
      <c r="K40" s="46"/>
      <c r="L40" s="27"/>
      <c r="M40" s="27"/>
      <c r="N40" s="27"/>
    </row>
    <row r="41" spans="1:14">
      <c r="A41" s="23"/>
      <c r="B41" s="21"/>
      <c r="C41" s="21" t="s">
        <v>417</v>
      </c>
      <c r="D41" s="21"/>
      <c r="E41" s="21"/>
      <c r="F41" s="13" t="s">
        <v>457</v>
      </c>
      <c r="G41" s="21" t="s">
        <v>422</v>
      </c>
      <c r="H41" s="22" t="s">
        <v>511</v>
      </c>
      <c r="I41" s="40" t="s">
        <v>501</v>
      </c>
      <c r="J41" s="40" t="s">
        <v>501</v>
      </c>
      <c r="K41" s="46"/>
      <c r="L41" s="27"/>
      <c r="M41" s="27"/>
      <c r="N41" s="27"/>
    </row>
    <row r="42" spans="1:14">
      <c r="A42" s="23"/>
      <c r="B42" s="21"/>
      <c r="C42" s="21" t="s">
        <v>418</v>
      </c>
      <c r="D42" s="21"/>
      <c r="E42" s="21"/>
      <c r="F42" s="13" t="s">
        <v>457</v>
      </c>
      <c r="G42" s="21" t="s">
        <v>423</v>
      </c>
      <c r="H42" s="22" t="s">
        <v>511</v>
      </c>
      <c r="I42" s="40" t="s">
        <v>501</v>
      </c>
      <c r="J42" s="40" t="s">
        <v>501</v>
      </c>
      <c r="K42" s="46"/>
      <c r="L42" s="27"/>
      <c r="M42" s="27"/>
      <c r="N42" s="27"/>
    </row>
    <row r="43" spans="1:14" s="27" customFormat="1">
      <c r="A43" s="23" t="s">
        <v>276</v>
      </c>
      <c r="B43" s="21" t="s">
        <v>277</v>
      </c>
      <c r="C43" s="21"/>
      <c r="D43" s="21"/>
      <c r="E43" s="21"/>
      <c r="F43" s="13" t="s">
        <v>441</v>
      </c>
      <c r="G43" s="21" t="s">
        <v>278</v>
      </c>
      <c r="H43" s="22" t="s">
        <v>511</v>
      </c>
      <c r="I43" s="40" t="s">
        <v>501</v>
      </c>
      <c r="J43" s="40" t="s">
        <v>501</v>
      </c>
      <c r="K43" s="46"/>
    </row>
    <row r="44" spans="1:14" s="27" customFormat="1">
      <c r="A44" s="23"/>
      <c r="B44" s="21"/>
      <c r="C44" s="21" t="s">
        <v>427</v>
      </c>
      <c r="D44" s="21"/>
      <c r="E44" s="21"/>
      <c r="F44" s="13" t="s">
        <v>457</v>
      </c>
      <c r="G44" s="21"/>
      <c r="H44" s="22" t="s">
        <v>511</v>
      </c>
      <c r="I44" s="40"/>
      <c r="J44" s="40"/>
      <c r="K44" s="46" t="s">
        <v>426</v>
      </c>
    </row>
    <row r="45" spans="1:14" s="27" customFormat="1">
      <c r="A45" s="23"/>
      <c r="B45" s="21"/>
      <c r="C45" s="21" t="s">
        <v>428</v>
      </c>
      <c r="D45" s="21"/>
      <c r="E45" s="21"/>
      <c r="F45" s="13" t="s">
        <v>457</v>
      </c>
      <c r="G45" s="21"/>
      <c r="H45" s="22" t="s">
        <v>511</v>
      </c>
      <c r="I45" s="40"/>
      <c r="J45" s="40"/>
      <c r="K45" s="46" t="s">
        <v>426</v>
      </c>
    </row>
    <row r="46" spans="1:14" s="27" customFormat="1">
      <c r="A46" s="23"/>
      <c r="B46" s="21"/>
      <c r="C46" s="21" t="s">
        <v>438</v>
      </c>
      <c r="D46" s="21" t="s">
        <v>429</v>
      </c>
      <c r="E46" s="21"/>
      <c r="F46" s="13" t="s">
        <v>457</v>
      </c>
      <c r="G46" s="21"/>
      <c r="H46" s="22" t="s">
        <v>511</v>
      </c>
      <c r="I46" s="40"/>
      <c r="J46" s="40"/>
      <c r="K46" s="46"/>
    </row>
    <row r="47" spans="1:14" s="27" customFormat="1">
      <c r="A47" s="23"/>
      <c r="B47" s="21"/>
      <c r="C47" s="21"/>
      <c r="D47" s="21" t="s">
        <v>430</v>
      </c>
      <c r="E47" s="21"/>
      <c r="F47" s="13" t="s">
        <v>457</v>
      </c>
      <c r="G47" s="21"/>
      <c r="H47" s="22" t="s">
        <v>511</v>
      </c>
      <c r="I47" s="40"/>
      <c r="J47" s="40"/>
      <c r="K47" s="46"/>
    </row>
    <row r="48" spans="1:14" s="27" customFormat="1">
      <c r="A48" s="23"/>
      <c r="B48" s="21"/>
      <c r="C48" s="21"/>
      <c r="D48" s="21" t="s">
        <v>431</v>
      </c>
      <c r="E48" s="21"/>
      <c r="F48" s="13" t="s">
        <v>457</v>
      </c>
      <c r="G48" s="21"/>
      <c r="H48" s="22" t="s">
        <v>511</v>
      </c>
      <c r="I48" s="40"/>
      <c r="J48" s="40"/>
      <c r="K48" s="46"/>
    </row>
    <row r="49" spans="1:14" s="27" customFormat="1">
      <c r="A49" s="23"/>
      <c r="B49" s="21"/>
      <c r="C49" s="21"/>
      <c r="D49" s="21" t="s">
        <v>432</v>
      </c>
      <c r="E49" s="21"/>
      <c r="F49" s="13" t="s">
        <v>457</v>
      </c>
      <c r="G49" s="21"/>
      <c r="H49" s="22" t="s">
        <v>511</v>
      </c>
      <c r="I49" s="40"/>
      <c r="J49" s="40"/>
      <c r="K49" s="46"/>
    </row>
    <row r="50" spans="1:14" s="27" customFormat="1">
      <c r="A50" s="23"/>
      <c r="B50" s="21"/>
      <c r="C50" s="21"/>
      <c r="D50" s="21" t="s">
        <v>433</v>
      </c>
      <c r="E50" s="21"/>
      <c r="F50" s="13" t="s">
        <v>457</v>
      </c>
      <c r="G50" s="21"/>
      <c r="H50" s="22" t="s">
        <v>511</v>
      </c>
      <c r="I50" s="40"/>
      <c r="J50" s="40"/>
      <c r="K50" s="46"/>
    </row>
    <row r="51" spans="1:14" s="27" customFormat="1">
      <c r="A51" s="23"/>
      <c r="B51" s="21"/>
      <c r="C51" s="21"/>
      <c r="D51" s="21" t="s">
        <v>425</v>
      </c>
      <c r="E51" s="21"/>
      <c r="F51" s="13" t="s">
        <v>457</v>
      </c>
      <c r="G51" s="21"/>
      <c r="H51" s="22" t="s">
        <v>511</v>
      </c>
      <c r="I51" s="40"/>
      <c r="J51" s="40"/>
      <c r="K51" s="46" t="s">
        <v>437</v>
      </c>
    </row>
    <row r="52" spans="1:14" s="27" customFormat="1">
      <c r="A52" s="23"/>
      <c r="B52" s="21"/>
      <c r="C52" s="21"/>
      <c r="D52" s="21" t="s">
        <v>434</v>
      </c>
      <c r="E52" s="21"/>
      <c r="F52" s="13" t="s">
        <v>457</v>
      </c>
      <c r="G52" s="21"/>
      <c r="H52" s="22" t="s">
        <v>511</v>
      </c>
      <c r="I52" s="40"/>
      <c r="J52" s="40"/>
      <c r="K52" s="46"/>
    </row>
    <row r="53" spans="1:14" s="27" customFormat="1">
      <c r="A53" s="23"/>
      <c r="B53" s="21"/>
      <c r="C53" s="21"/>
      <c r="D53" s="21" t="s">
        <v>435</v>
      </c>
      <c r="E53" s="21"/>
      <c r="F53" s="13" t="s">
        <v>457</v>
      </c>
      <c r="G53" s="21"/>
      <c r="H53" s="22" t="s">
        <v>511</v>
      </c>
      <c r="I53" s="40"/>
      <c r="J53" s="40"/>
      <c r="K53" s="46"/>
    </row>
    <row r="54" spans="1:14" s="27" customFormat="1">
      <c r="A54" s="23"/>
      <c r="B54" s="21"/>
      <c r="C54" s="21"/>
      <c r="D54" s="21" t="s">
        <v>424</v>
      </c>
      <c r="E54" s="21"/>
      <c r="F54" s="13" t="s">
        <v>457</v>
      </c>
      <c r="G54" s="21"/>
      <c r="H54" s="22" t="s">
        <v>511</v>
      </c>
      <c r="I54" s="40"/>
      <c r="J54" s="40"/>
      <c r="K54" s="46"/>
    </row>
    <row r="55" spans="1:14" s="27" customFormat="1">
      <c r="A55" s="23"/>
      <c r="B55" s="21"/>
      <c r="C55" s="21"/>
      <c r="D55" s="21" t="s">
        <v>436</v>
      </c>
      <c r="E55" s="21"/>
      <c r="F55" s="13" t="s">
        <v>457</v>
      </c>
      <c r="G55" s="21"/>
      <c r="H55" s="22" t="s">
        <v>511</v>
      </c>
      <c r="I55" s="40"/>
      <c r="J55" s="40"/>
      <c r="K55" s="46"/>
    </row>
    <row r="56" spans="1:14" s="27" customFormat="1">
      <c r="A56" s="23"/>
      <c r="B56" s="21"/>
      <c r="C56" s="21" t="s">
        <v>279</v>
      </c>
      <c r="D56" s="21"/>
      <c r="E56" s="21"/>
      <c r="F56" s="13" t="s">
        <v>460</v>
      </c>
      <c r="G56" s="21" t="s">
        <v>280</v>
      </c>
      <c r="H56" s="22" t="s">
        <v>511</v>
      </c>
      <c r="I56" s="40" t="s">
        <v>501</v>
      </c>
      <c r="J56" s="40" t="s">
        <v>501</v>
      </c>
      <c r="K56" s="46"/>
    </row>
    <row r="57" spans="1:14" s="27" customFormat="1">
      <c r="A57" s="23" t="s">
        <v>281</v>
      </c>
      <c r="B57" s="21" t="s">
        <v>282</v>
      </c>
      <c r="C57" s="21"/>
      <c r="D57" s="21"/>
      <c r="E57" s="21"/>
      <c r="F57" s="13" t="s">
        <v>441</v>
      </c>
      <c r="G57" s="21" t="s">
        <v>283</v>
      </c>
      <c r="H57" s="22" t="s">
        <v>511</v>
      </c>
      <c r="I57" s="40" t="s">
        <v>501</v>
      </c>
      <c r="J57" s="40" t="s">
        <v>501</v>
      </c>
      <c r="K57" s="46" t="s">
        <v>439</v>
      </c>
    </row>
    <row r="58" spans="1:14" s="27" customFormat="1">
      <c r="A58" s="23"/>
      <c r="B58" s="21" t="s">
        <v>284</v>
      </c>
      <c r="C58" s="21"/>
      <c r="D58" s="21"/>
      <c r="E58" s="21"/>
      <c r="F58" s="13" t="s">
        <v>441</v>
      </c>
      <c r="G58" s="21" t="s">
        <v>285</v>
      </c>
      <c r="H58" s="22" t="s">
        <v>511</v>
      </c>
      <c r="I58" s="40" t="s">
        <v>501</v>
      </c>
      <c r="J58" s="40" t="s">
        <v>501</v>
      </c>
      <c r="K58" s="46"/>
    </row>
    <row r="59" spans="1:14" s="27" customFormat="1">
      <c r="A59" s="23"/>
      <c r="B59" s="21"/>
      <c r="C59" s="21" t="s">
        <v>286</v>
      </c>
      <c r="D59" s="21"/>
      <c r="E59" s="21"/>
      <c r="F59" s="13" t="s">
        <v>460</v>
      </c>
      <c r="G59" s="21" t="s">
        <v>440</v>
      </c>
      <c r="H59" s="22" t="s">
        <v>511</v>
      </c>
      <c r="I59" s="40" t="s">
        <v>501</v>
      </c>
      <c r="J59" s="40" t="s">
        <v>501</v>
      </c>
      <c r="K59" s="46"/>
    </row>
    <row r="60" spans="1:14" s="27" customFormat="1">
      <c r="A60" s="23"/>
      <c r="B60" s="21"/>
      <c r="C60" s="21" t="s">
        <v>442</v>
      </c>
      <c r="D60" s="21"/>
      <c r="E60" s="21"/>
      <c r="F60" s="13" t="s">
        <v>456</v>
      </c>
      <c r="G60" s="21" t="s">
        <v>443</v>
      </c>
      <c r="H60" s="22" t="s">
        <v>511</v>
      </c>
      <c r="I60" s="40" t="s">
        <v>501</v>
      </c>
      <c r="J60" s="40" t="s">
        <v>501</v>
      </c>
      <c r="K60" s="46"/>
    </row>
    <row r="61" spans="1:14">
      <c r="A61" s="23" t="s">
        <v>42</v>
      </c>
      <c r="B61" s="21" t="s">
        <v>287</v>
      </c>
      <c r="C61" s="21"/>
      <c r="D61" s="21"/>
      <c r="E61" s="21"/>
      <c r="F61" s="13" t="s">
        <v>461</v>
      </c>
      <c r="G61" s="21" t="s">
        <v>288</v>
      </c>
      <c r="H61" s="22" t="s">
        <v>511</v>
      </c>
      <c r="I61" s="40" t="s">
        <v>501</v>
      </c>
      <c r="J61" s="40" t="s">
        <v>501</v>
      </c>
      <c r="K61" s="46"/>
      <c r="L61" s="27"/>
      <c r="M61" s="27"/>
      <c r="N61" s="27"/>
    </row>
    <row r="62" spans="1:14">
      <c r="A62" s="23"/>
      <c r="B62" s="21"/>
      <c r="C62" s="21" t="s">
        <v>289</v>
      </c>
      <c r="D62" s="21"/>
      <c r="E62" s="21"/>
      <c r="F62" s="13" t="s">
        <v>458</v>
      </c>
      <c r="G62" s="21" t="s">
        <v>444</v>
      </c>
      <c r="H62" s="22" t="s">
        <v>511</v>
      </c>
      <c r="I62" s="40" t="s">
        <v>501</v>
      </c>
      <c r="J62" s="40" t="s">
        <v>501</v>
      </c>
      <c r="K62" s="46"/>
      <c r="L62" s="27"/>
      <c r="M62" s="27"/>
      <c r="N62" s="27"/>
    </row>
    <row r="63" spans="1:14">
      <c r="A63" s="23"/>
      <c r="B63" s="21"/>
      <c r="C63" s="21" t="s">
        <v>58</v>
      </c>
      <c r="D63" s="21"/>
      <c r="E63" s="21"/>
      <c r="F63" s="13" t="s">
        <v>458</v>
      </c>
      <c r="G63" s="21" t="s">
        <v>445</v>
      </c>
      <c r="H63" s="22" t="s">
        <v>511</v>
      </c>
      <c r="I63" s="40" t="s">
        <v>501</v>
      </c>
      <c r="J63" s="40" t="s">
        <v>501</v>
      </c>
      <c r="K63" s="46"/>
      <c r="L63" s="27"/>
      <c r="M63" s="27"/>
      <c r="N63" s="27"/>
    </row>
    <row r="64" spans="1:14">
      <c r="A64" s="23"/>
      <c r="B64" s="21"/>
      <c r="C64" s="21" t="s">
        <v>14</v>
      </c>
      <c r="D64" s="21"/>
      <c r="E64" s="21"/>
      <c r="F64" s="13" t="s">
        <v>458</v>
      </c>
      <c r="G64" s="21" t="s">
        <v>446</v>
      </c>
      <c r="H64" s="22" t="s">
        <v>511</v>
      </c>
      <c r="I64" s="40" t="s">
        <v>501</v>
      </c>
      <c r="J64" s="40" t="s">
        <v>501</v>
      </c>
      <c r="K64" s="46"/>
      <c r="L64" s="27"/>
      <c r="M64" s="27"/>
      <c r="N64" s="27"/>
    </row>
    <row r="65" spans="1:14">
      <c r="A65" s="23"/>
      <c r="B65" s="21"/>
      <c r="C65" s="21" t="s">
        <v>59</v>
      </c>
      <c r="D65" s="21"/>
      <c r="E65" s="21"/>
      <c r="F65" s="13" t="s">
        <v>458</v>
      </c>
      <c r="G65" s="21" t="s">
        <v>447</v>
      </c>
      <c r="H65" s="22" t="s">
        <v>511</v>
      </c>
      <c r="I65" s="40" t="s">
        <v>501</v>
      </c>
      <c r="J65" s="40" t="s">
        <v>501</v>
      </c>
      <c r="K65" s="46"/>
      <c r="L65" s="27"/>
      <c r="M65" s="27"/>
      <c r="N65" s="27"/>
    </row>
    <row r="66" spans="1:14">
      <c r="A66" s="23"/>
      <c r="B66" s="21"/>
      <c r="C66" s="21" t="s">
        <v>11</v>
      </c>
      <c r="D66" s="21"/>
      <c r="E66" s="21"/>
      <c r="F66" s="13" t="s">
        <v>458</v>
      </c>
      <c r="G66" s="21" t="s">
        <v>448</v>
      </c>
      <c r="H66" s="22" t="s">
        <v>511</v>
      </c>
      <c r="I66" s="40" t="s">
        <v>501</v>
      </c>
      <c r="J66" s="40" t="s">
        <v>501</v>
      </c>
      <c r="K66" s="46"/>
      <c r="L66" s="27"/>
      <c r="M66" s="27"/>
      <c r="N66" s="27"/>
    </row>
    <row r="67" spans="1:14">
      <c r="A67" s="23" t="s">
        <v>43</v>
      </c>
      <c r="B67" s="21" t="s">
        <v>44</v>
      </c>
      <c r="C67" s="21"/>
      <c r="D67" s="21"/>
      <c r="E67" s="21"/>
      <c r="F67" s="13" t="s">
        <v>290</v>
      </c>
      <c r="G67" s="21" t="s">
        <v>291</v>
      </c>
      <c r="H67" s="22" t="s">
        <v>511</v>
      </c>
      <c r="I67" s="40" t="s">
        <v>501</v>
      </c>
      <c r="J67" s="40" t="s">
        <v>501</v>
      </c>
      <c r="K67" s="46" t="s">
        <v>292</v>
      </c>
      <c r="L67" s="27"/>
      <c r="M67" s="27"/>
      <c r="N67" s="27"/>
    </row>
    <row r="68" spans="1:14">
      <c r="A68" s="23"/>
      <c r="B68" s="21"/>
      <c r="C68" s="21"/>
      <c r="D68" s="21"/>
      <c r="E68" s="21"/>
      <c r="F68" s="13" t="s">
        <v>441</v>
      </c>
      <c r="G68" s="21" t="s">
        <v>449</v>
      </c>
      <c r="H68" s="22" t="s">
        <v>511</v>
      </c>
      <c r="I68" s="40" t="s">
        <v>501</v>
      </c>
      <c r="J68" s="40" t="s">
        <v>501</v>
      </c>
      <c r="K68" s="46"/>
      <c r="L68" s="27"/>
      <c r="M68" s="27"/>
      <c r="N68" s="27"/>
    </row>
    <row r="69" spans="1:14">
      <c r="A69" s="23"/>
      <c r="B69" s="21"/>
      <c r="C69" s="21" t="s">
        <v>293</v>
      </c>
      <c r="D69" s="21"/>
      <c r="E69" s="21"/>
      <c r="F69" s="13" t="s">
        <v>505</v>
      </c>
      <c r="G69" s="21" t="s">
        <v>450</v>
      </c>
      <c r="H69" s="22" t="s">
        <v>511</v>
      </c>
      <c r="I69" s="40"/>
      <c r="J69" s="40"/>
      <c r="K69" s="46"/>
      <c r="L69" s="27"/>
      <c r="M69" s="27"/>
      <c r="N69" s="27"/>
    </row>
    <row r="70" spans="1:14">
      <c r="A70" s="23"/>
      <c r="B70" s="21" t="s">
        <v>45</v>
      </c>
      <c r="C70" s="21" t="s">
        <v>530</v>
      </c>
      <c r="D70" s="21"/>
      <c r="E70" s="21"/>
      <c r="F70" s="13" t="s">
        <v>290</v>
      </c>
      <c r="G70" s="21" t="s">
        <v>536</v>
      </c>
      <c r="H70" s="22" t="s">
        <v>511</v>
      </c>
      <c r="I70" s="40" t="s">
        <v>501</v>
      </c>
      <c r="J70" s="40" t="s">
        <v>501</v>
      </c>
      <c r="K70" s="46" t="s">
        <v>294</v>
      </c>
      <c r="L70" s="27"/>
      <c r="M70" s="27"/>
      <c r="N70" s="27"/>
    </row>
    <row r="71" spans="1:14">
      <c r="A71" s="23"/>
      <c r="B71" s="21"/>
      <c r="C71" s="21" t="s">
        <v>531</v>
      </c>
      <c r="D71" s="21"/>
      <c r="E71" s="21"/>
      <c r="F71" s="13" t="s">
        <v>538</v>
      </c>
      <c r="G71" s="21" t="s">
        <v>537</v>
      </c>
      <c r="H71" s="22" t="s">
        <v>511</v>
      </c>
      <c r="I71" s="40" t="s">
        <v>501</v>
      </c>
      <c r="J71" s="40" t="s">
        <v>501</v>
      </c>
      <c r="K71" s="46"/>
      <c r="L71" s="27"/>
      <c r="M71" s="27"/>
      <c r="N71" s="27"/>
    </row>
    <row r="72" spans="1:14">
      <c r="A72" s="23"/>
      <c r="B72" s="21" t="s">
        <v>527</v>
      </c>
      <c r="C72" s="21" t="s">
        <v>528</v>
      </c>
      <c r="D72" s="21" t="s">
        <v>530</v>
      </c>
      <c r="E72" s="21"/>
      <c r="F72" s="13" t="s">
        <v>72</v>
      </c>
      <c r="G72" s="21" t="s">
        <v>532</v>
      </c>
      <c r="H72" s="22" t="s">
        <v>511</v>
      </c>
      <c r="I72" s="40" t="s">
        <v>501</v>
      </c>
      <c r="J72" s="40" t="s">
        <v>501</v>
      </c>
      <c r="K72" s="46"/>
      <c r="L72" s="27"/>
      <c r="M72" s="27"/>
      <c r="N72" s="27"/>
    </row>
    <row r="73" spans="1:14">
      <c r="A73" s="23"/>
      <c r="B73" s="21"/>
      <c r="C73" s="21"/>
      <c r="D73" s="21" t="s">
        <v>531</v>
      </c>
      <c r="E73" s="21"/>
      <c r="F73" s="13" t="s">
        <v>72</v>
      </c>
      <c r="G73" s="21" t="s">
        <v>533</v>
      </c>
      <c r="H73" s="22" t="s">
        <v>511</v>
      </c>
      <c r="I73" s="40" t="s">
        <v>501</v>
      </c>
      <c r="J73" s="40" t="s">
        <v>501</v>
      </c>
      <c r="K73" s="46"/>
      <c r="L73" s="27"/>
      <c r="M73" s="27"/>
      <c r="N73" s="27"/>
    </row>
    <row r="74" spans="1:14">
      <c r="A74" s="23"/>
      <c r="B74" s="21"/>
      <c r="C74" s="21" t="s">
        <v>529</v>
      </c>
      <c r="D74" s="21" t="s">
        <v>530</v>
      </c>
      <c r="E74" s="21"/>
      <c r="F74" s="13" t="s">
        <v>72</v>
      </c>
      <c r="G74" s="21" t="s">
        <v>534</v>
      </c>
      <c r="H74" s="22" t="s">
        <v>511</v>
      </c>
      <c r="I74" s="40" t="s">
        <v>501</v>
      </c>
      <c r="J74" s="40" t="s">
        <v>501</v>
      </c>
      <c r="K74" s="46"/>
      <c r="L74" s="27"/>
      <c r="M74" s="27"/>
      <c r="N74" s="27"/>
    </row>
    <row r="75" spans="1:14">
      <c r="A75" s="23"/>
      <c r="B75" s="21"/>
      <c r="C75" s="21"/>
      <c r="D75" s="21" t="s">
        <v>531</v>
      </c>
      <c r="E75" s="21"/>
      <c r="F75" s="13" t="s">
        <v>72</v>
      </c>
      <c r="G75" s="21" t="s">
        <v>535</v>
      </c>
      <c r="H75" s="22" t="s">
        <v>511</v>
      </c>
      <c r="I75" s="40" t="s">
        <v>501</v>
      </c>
      <c r="J75" s="40" t="s">
        <v>501</v>
      </c>
      <c r="K75" s="46"/>
      <c r="L75" s="27"/>
      <c r="M75" s="27"/>
      <c r="N75" s="27"/>
    </row>
    <row r="76" spans="1:14">
      <c r="A76" s="23"/>
      <c r="B76" s="21" t="s">
        <v>46</v>
      </c>
      <c r="C76" s="21" t="s">
        <v>530</v>
      </c>
      <c r="D76" s="21"/>
      <c r="E76" s="21"/>
      <c r="F76" s="13" t="s">
        <v>290</v>
      </c>
      <c r="G76" s="21" t="s">
        <v>541</v>
      </c>
      <c r="H76" s="22" t="s">
        <v>511</v>
      </c>
      <c r="I76" s="40" t="s">
        <v>501</v>
      </c>
      <c r="J76" s="40" t="s">
        <v>501</v>
      </c>
      <c r="K76" s="46"/>
      <c r="L76" s="27"/>
      <c r="M76" s="27"/>
      <c r="N76" s="27"/>
    </row>
    <row r="77" spans="1:14">
      <c r="A77" s="23"/>
      <c r="B77" s="21"/>
      <c r="C77" s="21" t="s">
        <v>531</v>
      </c>
      <c r="D77" s="21"/>
      <c r="E77" s="21"/>
      <c r="F77" s="13"/>
      <c r="G77" s="21" t="s">
        <v>542</v>
      </c>
      <c r="H77" s="22"/>
      <c r="I77" s="40"/>
      <c r="J77" s="40"/>
      <c r="K77" s="46"/>
      <c r="L77" s="27"/>
      <c r="M77" s="27"/>
      <c r="N77" s="27"/>
    </row>
    <row r="78" spans="1:14">
      <c r="A78" s="23"/>
      <c r="B78" s="21"/>
      <c r="C78" s="21"/>
      <c r="D78" s="21" t="s">
        <v>540</v>
      </c>
      <c r="E78" s="21"/>
      <c r="F78" s="13" t="s">
        <v>456</v>
      </c>
      <c r="G78" s="21" t="s">
        <v>490</v>
      </c>
      <c r="H78" s="22" t="s">
        <v>511</v>
      </c>
      <c r="I78" s="40"/>
      <c r="J78" s="40"/>
      <c r="K78" s="46" t="s">
        <v>539</v>
      </c>
      <c r="L78" s="27"/>
      <c r="M78" s="27"/>
      <c r="N78" s="27"/>
    </row>
    <row r="79" spans="1:14">
      <c r="A79" s="23"/>
      <c r="B79" s="21" t="s">
        <v>47</v>
      </c>
      <c r="C79" s="21"/>
      <c r="D79" s="21"/>
      <c r="E79" s="21"/>
      <c r="F79" s="13" t="s">
        <v>504</v>
      </c>
      <c r="G79" s="21" t="s">
        <v>295</v>
      </c>
      <c r="H79" s="22" t="s">
        <v>511</v>
      </c>
      <c r="I79" s="40" t="s">
        <v>501</v>
      </c>
      <c r="J79" s="40" t="s">
        <v>501</v>
      </c>
      <c r="K79" s="46"/>
      <c r="L79" s="27"/>
      <c r="M79" s="27"/>
      <c r="N79" s="27"/>
    </row>
    <row r="80" spans="1:14">
      <c r="A80" s="23"/>
      <c r="B80" s="21"/>
      <c r="C80" s="21" t="s">
        <v>296</v>
      </c>
      <c r="D80" s="21"/>
      <c r="E80" s="21"/>
      <c r="F80" s="13" t="s">
        <v>459</v>
      </c>
      <c r="G80" s="21" t="s">
        <v>297</v>
      </c>
      <c r="H80" s="22" t="s">
        <v>511</v>
      </c>
      <c r="I80" s="40" t="s">
        <v>501</v>
      </c>
      <c r="J80" s="40" t="s">
        <v>501</v>
      </c>
      <c r="K80" s="46"/>
      <c r="L80" s="27"/>
      <c r="M80" s="27"/>
      <c r="N80" s="27"/>
    </row>
    <row r="81" spans="1:14">
      <c r="A81" s="23"/>
      <c r="B81" s="21"/>
      <c r="C81" s="21" t="s">
        <v>298</v>
      </c>
      <c r="D81" s="21"/>
      <c r="E81" s="21"/>
      <c r="F81" s="13" t="s">
        <v>459</v>
      </c>
      <c r="G81" s="21" t="s">
        <v>299</v>
      </c>
      <c r="H81" s="22" t="s">
        <v>511</v>
      </c>
      <c r="I81" s="40" t="s">
        <v>501</v>
      </c>
      <c r="J81" s="40" t="s">
        <v>501</v>
      </c>
      <c r="K81" s="47" t="s">
        <v>451</v>
      </c>
      <c r="L81" s="27"/>
      <c r="M81" s="27"/>
      <c r="N81" s="27"/>
    </row>
    <row r="82" spans="1:14">
      <c r="A82" s="23" t="s">
        <v>48</v>
      </c>
      <c r="B82" s="21" t="s">
        <v>463</v>
      </c>
      <c r="C82" s="21" t="s">
        <v>464</v>
      </c>
      <c r="D82" s="21"/>
      <c r="E82" s="21"/>
      <c r="F82" s="13" t="s">
        <v>72</v>
      </c>
      <c r="G82" s="21" t="s">
        <v>485</v>
      </c>
      <c r="H82" s="22" t="s">
        <v>511</v>
      </c>
      <c r="I82" s="40" t="s">
        <v>501</v>
      </c>
      <c r="J82" s="40" t="s">
        <v>501</v>
      </c>
      <c r="K82" s="46"/>
      <c r="L82" s="27"/>
      <c r="M82" s="27"/>
      <c r="N82" s="27"/>
    </row>
    <row r="83" spans="1:14">
      <c r="A83" s="23"/>
      <c r="B83" s="21"/>
      <c r="C83" s="21"/>
      <c r="D83" s="21" t="s">
        <v>475</v>
      </c>
      <c r="E83" s="21"/>
      <c r="F83" s="13" t="s">
        <v>72</v>
      </c>
      <c r="G83" s="21" t="s">
        <v>486</v>
      </c>
      <c r="H83" s="22" t="s">
        <v>511</v>
      </c>
      <c r="I83" s="40" t="s">
        <v>501</v>
      </c>
      <c r="J83" s="40"/>
      <c r="K83" s="46"/>
      <c r="L83" s="27"/>
      <c r="M83" s="27"/>
      <c r="N83" s="27"/>
    </row>
    <row r="84" spans="1:14">
      <c r="A84" s="23"/>
      <c r="B84" s="21"/>
      <c r="C84" s="21" t="s">
        <v>465</v>
      </c>
      <c r="D84" s="21"/>
      <c r="E84" s="21"/>
      <c r="F84" s="13" t="s">
        <v>72</v>
      </c>
      <c r="G84" s="21" t="s">
        <v>489</v>
      </c>
      <c r="H84" s="22" t="s">
        <v>511</v>
      </c>
      <c r="I84" s="40" t="s">
        <v>501</v>
      </c>
      <c r="J84" s="40" t="s">
        <v>501</v>
      </c>
      <c r="K84" s="46"/>
      <c r="L84" s="27"/>
      <c r="M84" s="27"/>
      <c r="N84" s="27"/>
    </row>
    <row r="85" spans="1:14">
      <c r="A85" s="23"/>
      <c r="B85" s="21"/>
      <c r="C85" s="21" t="s">
        <v>466</v>
      </c>
      <c r="D85" s="21"/>
      <c r="E85" s="21"/>
      <c r="F85" s="13" t="s">
        <v>72</v>
      </c>
      <c r="G85" s="21" t="s">
        <v>487</v>
      </c>
      <c r="H85" s="22" t="s">
        <v>511</v>
      </c>
      <c r="I85" s="40" t="s">
        <v>501</v>
      </c>
      <c r="J85" s="40" t="s">
        <v>501</v>
      </c>
      <c r="K85" s="46"/>
      <c r="L85" s="27"/>
      <c r="M85" s="27"/>
      <c r="N85" s="27"/>
    </row>
    <row r="86" spans="1:14">
      <c r="A86" s="23"/>
      <c r="B86" s="21"/>
      <c r="C86" s="21" t="s">
        <v>467</v>
      </c>
      <c r="D86" s="21"/>
      <c r="E86" s="21"/>
      <c r="F86" s="13" t="s">
        <v>72</v>
      </c>
      <c r="G86" s="21" t="s">
        <v>488</v>
      </c>
      <c r="H86" s="22" t="s">
        <v>511</v>
      </c>
      <c r="I86" s="40" t="s">
        <v>501</v>
      </c>
      <c r="J86" s="40" t="s">
        <v>501</v>
      </c>
      <c r="K86" s="46"/>
      <c r="L86" s="27"/>
      <c r="M86" s="27"/>
      <c r="N86" s="27"/>
    </row>
    <row r="87" spans="1:14">
      <c r="A87" s="23"/>
      <c r="B87" s="21"/>
      <c r="C87" s="21" t="s">
        <v>468</v>
      </c>
      <c r="D87" s="21"/>
      <c r="E87" s="21"/>
      <c r="F87" s="13" t="s">
        <v>72</v>
      </c>
      <c r="G87" s="21" t="s">
        <v>484</v>
      </c>
      <c r="H87" s="22" t="s">
        <v>511</v>
      </c>
      <c r="I87" s="40" t="s">
        <v>501</v>
      </c>
      <c r="J87" s="40" t="s">
        <v>501</v>
      </c>
      <c r="K87" s="46"/>
      <c r="L87" s="27"/>
      <c r="M87" s="27"/>
      <c r="N87" s="27"/>
    </row>
    <row r="88" spans="1:14">
      <c r="A88" s="23"/>
      <c r="B88" s="21" t="s">
        <v>469</v>
      </c>
      <c r="C88" s="21" t="s">
        <v>476</v>
      </c>
      <c r="D88" s="21"/>
      <c r="E88" s="21"/>
      <c r="F88" s="13" t="s">
        <v>72</v>
      </c>
      <c r="G88" s="21" t="s">
        <v>483</v>
      </c>
      <c r="H88" s="22" t="s">
        <v>511</v>
      </c>
      <c r="I88" s="40" t="s">
        <v>501</v>
      </c>
      <c r="J88" s="40" t="s">
        <v>501</v>
      </c>
      <c r="K88" s="46"/>
      <c r="L88" s="27"/>
      <c r="M88" s="27"/>
      <c r="N88" s="27"/>
    </row>
    <row r="89" spans="1:14">
      <c r="A89" s="23"/>
      <c r="B89" s="21"/>
      <c r="C89" s="21" t="s">
        <v>470</v>
      </c>
      <c r="D89" s="21"/>
      <c r="E89" s="21"/>
      <c r="F89" s="13" t="s">
        <v>72</v>
      </c>
      <c r="G89" s="21" t="s">
        <v>480</v>
      </c>
      <c r="H89" s="22" t="s">
        <v>511</v>
      </c>
      <c r="I89" s="40" t="s">
        <v>501</v>
      </c>
      <c r="J89" s="40" t="s">
        <v>501</v>
      </c>
      <c r="K89" s="46"/>
      <c r="L89" s="27"/>
      <c r="M89" s="27"/>
      <c r="N89" s="27"/>
    </row>
    <row r="90" spans="1:14">
      <c r="A90" s="23"/>
      <c r="B90" s="21"/>
      <c r="C90" s="21"/>
      <c r="D90" s="21" t="s">
        <v>477</v>
      </c>
      <c r="E90" s="21"/>
      <c r="F90" s="13" t="s">
        <v>457</v>
      </c>
      <c r="G90" s="21" t="s">
        <v>481</v>
      </c>
      <c r="H90" s="22" t="s">
        <v>511</v>
      </c>
      <c r="I90" s="40" t="s">
        <v>501</v>
      </c>
      <c r="J90" s="40" t="s">
        <v>501</v>
      </c>
      <c r="K90" s="46"/>
      <c r="L90" s="27"/>
      <c r="M90" s="27"/>
      <c r="N90" s="27"/>
    </row>
    <row r="91" spans="1:14">
      <c r="A91" s="23"/>
      <c r="B91" s="21"/>
      <c r="C91" s="21" t="s">
        <v>471</v>
      </c>
      <c r="D91" s="21"/>
      <c r="E91" s="21"/>
      <c r="F91" s="13" t="s">
        <v>72</v>
      </c>
      <c r="G91" s="21" t="s">
        <v>482</v>
      </c>
      <c r="H91" s="22" t="s">
        <v>511</v>
      </c>
      <c r="I91" s="40" t="s">
        <v>501</v>
      </c>
      <c r="J91" s="40" t="s">
        <v>501</v>
      </c>
      <c r="K91" s="46"/>
      <c r="L91" s="27"/>
      <c r="M91" s="27"/>
      <c r="N91" s="27"/>
    </row>
    <row r="92" spans="1:14">
      <c r="A92" s="23"/>
      <c r="B92" s="21"/>
      <c r="C92" s="21" t="s">
        <v>472</v>
      </c>
      <c r="D92" s="21"/>
      <c r="E92" s="21"/>
      <c r="F92" s="13" t="s">
        <v>72</v>
      </c>
      <c r="G92" s="21" t="s">
        <v>479</v>
      </c>
      <c r="H92" s="22" t="s">
        <v>511</v>
      </c>
      <c r="I92" s="40" t="s">
        <v>501</v>
      </c>
      <c r="J92" s="40" t="s">
        <v>501</v>
      </c>
      <c r="K92" s="46"/>
      <c r="L92" s="27"/>
      <c r="M92" s="27"/>
      <c r="N92" s="27"/>
    </row>
    <row r="93" spans="1:14">
      <c r="A93" s="23"/>
      <c r="B93" s="21" t="s">
        <v>473</v>
      </c>
      <c r="C93" s="21" t="s">
        <v>474</v>
      </c>
      <c r="D93" s="21"/>
      <c r="E93" s="21"/>
      <c r="F93" s="13" t="s">
        <v>72</v>
      </c>
      <c r="G93" s="21" t="s">
        <v>478</v>
      </c>
      <c r="H93" s="22" t="s">
        <v>511</v>
      </c>
      <c r="I93" s="40" t="s">
        <v>501</v>
      </c>
      <c r="J93" s="40" t="s">
        <v>501</v>
      </c>
      <c r="K93" s="46"/>
      <c r="L93" s="27"/>
      <c r="M93" s="27"/>
      <c r="N93" s="27"/>
    </row>
    <row r="94" spans="1:14">
      <c r="A94" s="23" t="s">
        <v>23</v>
      </c>
      <c r="B94" s="21" t="s">
        <v>50</v>
      </c>
      <c r="C94" s="21"/>
      <c r="D94" s="21"/>
      <c r="E94" s="21"/>
      <c r="F94" s="13" t="s">
        <v>461</v>
      </c>
      <c r="G94" s="21" t="s">
        <v>301</v>
      </c>
      <c r="H94" s="22" t="s">
        <v>511</v>
      </c>
      <c r="I94" s="40" t="s">
        <v>501</v>
      </c>
      <c r="J94" s="40" t="s">
        <v>501</v>
      </c>
      <c r="K94" s="46"/>
      <c r="L94" s="27"/>
      <c r="M94" s="27"/>
      <c r="N94" s="27"/>
    </row>
    <row r="95" spans="1:14">
      <c r="A95" s="23"/>
      <c r="B95" s="21" t="s">
        <v>25</v>
      </c>
      <c r="C95" s="21"/>
      <c r="D95" s="21"/>
      <c r="E95" s="21"/>
      <c r="F95" s="13" t="s">
        <v>290</v>
      </c>
      <c r="G95" s="21" t="s">
        <v>302</v>
      </c>
      <c r="H95" s="22" t="s">
        <v>511</v>
      </c>
      <c r="I95" s="40" t="s">
        <v>501</v>
      </c>
      <c r="J95" s="40" t="s">
        <v>501</v>
      </c>
      <c r="K95" s="46"/>
      <c r="L95" s="27"/>
      <c r="M95" s="27"/>
      <c r="N95" s="27"/>
    </row>
    <row r="96" spans="1:14">
      <c r="A96" s="23"/>
      <c r="B96" s="21" t="s">
        <v>51</v>
      </c>
      <c r="C96" s="21" t="s">
        <v>300</v>
      </c>
      <c r="D96" s="21"/>
      <c r="E96" s="21"/>
      <c r="F96" s="13" t="s">
        <v>303</v>
      </c>
      <c r="G96" s="21" t="s">
        <v>304</v>
      </c>
      <c r="H96" s="22" t="s">
        <v>511</v>
      </c>
      <c r="I96" s="40" t="s">
        <v>501</v>
      </c>
      <c r="J96" s="40" t="s">
        <v>501</v>
      </c>
      <c r="K96" s="46"/>
      <c r="L96" s="27"/>
      <c r="M96" s="27"/>
      <c r="N96" s="27"/>
    </row>
    <row r="97" spans="1:14">
      <c r="A97" s="23"/>
      <c r="B97" s="21"/>
      <c r="C97" s="21" t="s">
        <v>305</v>
      </c>
      <c r="D97" s="21"/>
      <c r="E97" s="21"/>
      <c r="F97" s="13" t="s">
        <v>303</v>
      </c>
      <c r="G97" s="21" t="s">
        <v>306</v>
      </c>
      <c r="H97" s="22" t="s">
        <v>511</v>
      </c>
      <c r="I97" s="40" t="s">
        <v>501</v>
      </c>
      <c r="J97" s="40" t="s">
        <v>501</v>
      </c>
      <c r="K97" s="46"/>
      <c r="L97" s="27"/>
      <c r="M97" s="27"/>
      <c r="N97" s="27"/>
    </row>
    <row r="98" spans="1:14">
      <c r="A98" s="23"/>
      <c r="B98" s="21"/>
      <c r="C98" s="21" t="s">
        <v>307</v>
      </c>
      <c r="D98" s="21"/>
      <c r="E98" s="21"/>
      <c r="F98" s="13" t="s">
        <v>303</v>
      </c>
      <c r="G98" s="21" t="s">
        <v>308</v>
      </c>
      <c r="H98" s="22" t="s">
        <v>511</v>
      </c>
      <c r="I98" s="40" t="s">
        <v>501</v>
      </c>
      <c r="J98" s="40" t="s">
        <v>501</v>
      </c>
      <c r="K98" s="46"/>
      <c r="L98" s="27"/>
      <c r="M98" s="27"/>
      <c r="N98" s="27"/>
    </row>
    <row r="99" spans="1:14">
      <c r="A99" s="23"/>
      <c r="B99" s="21" t="s">
        <v>26</v>
      </c>
      <c r="C99" s="21" t="s">
        <v>300</v>
      </c>
      <c r="D99" s="21"/>
      <c r="E99" s="21"/>
      <c r="F99" s="13" t="s">
        <v>303</v>
      </c>
      <c r="G99" s="21" t="s">
        <v>309</v>
      </c>
      <c r="H99" s="22" t="s">
        <v>511</v>
      </c>
      <c r="I99" s="40" t="s">
        <v>501</v>
      </c>
      <c r="J99" s="40" t="s">
        <v>501</v>
      </c>
      <c r="K99" s="46"/>
      <c r="L99" s="27"/>
      <c r="M99" s="27"/>
      <c r="N99" s="27"/>
    </row>
    <row r="100" spans="1:14">
      <c r="A100" s="23"/>
      <c r="B100" s="21"/>
      <c r="C100" s="21" t="s">
        <v>307</v>
      </c>
      <c r="D100" s="21"/>
      <c r="E100" s="21"/>
      <c r="F100" s="13" t="s">
        <v>303</v>
      </c>
      <c r="G100" s="21" t="s">
        <v>310</v>
      </c>
      <c r="H100" s="22" t="s">
        <v>511</v>
      </c>
      <c r="I100" s="40" t="s">
        <v>501</v>
      </c>
      <c r="J100" s="40" t="s">
        <v>501</v>
      </c>
      <c r="K100" s="46"/>
      <c r="L100" s="27"/>
      <c r="M100" s="27"/>
      <c r="N100" s="27"/>
    </row>
    <row r="101" spans="1:14">
      <c r="A101" s="23"/>
      <c r="B101" s="21" t="s">
        <v>27</v>
      </c>
      <c r="C101" s="21" t="s">
        <v>300</v>
      </c>
      <c r="D101" s="21"/>
      <c r="E101" s="21"/>
      <c r="F101" s="13" t="s">
        <v>303</v>
      </c>
      <c r="G101" s="21" t="s">
        <v>311</v>
      </c>
      <c r="H101" s="22" t="s">
        <v>511</v>
      </c>
      <c r="I101" s="40" t="s">
        <v>501</v>
      </c>
      <c r="J101" s="40" t="s">
        <v>501</v>
      </c>
      <c r="K101" s="46"/>
      <c r="L101" s="27"/>
      <c r="M101" s="27"/>
      <c r="N101" s="27"/>
    </row>
    <row r="102" spans="1:14">
      <c r="A102" s="23"/>
      <c r="B102" s="21"/>
      <c r="C102" s="21" t="s">
        <v>307</v>
      </c>
      <c r="D102" s="21"/>
      <c r="E102" s="21"/>
      <c r="F102" s="13" t="s">
        <v>303</v>
      </c>
      <c r="G102" s="21" t="s">
        <v>312</v>
      </c>
      <c r="H102" s="22" t="s">
        <v>511</v>
      </c>
      <c r="I102" s="40" t="s">
        <v>501</v>
      </c>
      <c r="J102" s="40" t="s">
        <v>501</v>
      </c>
      <c r="K102" s="46"/>
      <c r="L102" s="27"/>
      <c r="M102" s="27"/>
      <c r="N102" s="27"/>
    </row>
    <row r="103" spans="1:14">
      <c r="A103" s="23"/>
      <c r="B103" s="21" t="s">
        <v>28</v>
      </c>
      <c r="C103" s="21" t="s">
        <v>313</v>
      </c>
      <c r="D103" s="21" t="s">
        <v>300</v>
      </c>
      <c r="E103" s="21"/>
      <c r="F103" s="13" t="s">
        <v>303</v>
      </c>
      <c r="G103" s="21" t="s">
        <v>314</v>
      </c>
      <c r="H103" s="22" t="s">
        <v>511</v>
      </c>
      <c r="I103" s="40" t="s">
        <v>501</v>
      </c>
      <c r="J103" s="40" t="s">
        <v>501</v>
      </c>
      <c r="K103" s="46"/>
      <c r="L103" s="27"/>
      <c r="M103" s="27"/>
      <c r="N103" s="27"/>
    </row>
    <row r="104" spans="1:14">
      <c r="A104" s="23"/>
      <c r="B104" s="21"/>
      <c r="C104" s="21"/>
      <c r="D104" s="21" t="s">
        <v>139</v>
      </c>
      <c r="E104" s="21"/>
      <c r="F104" s="13" t="s">
        <v>303</v>
      </c>
      <c r="G104" s="21" t="s">
        <v>315</v>
      </c>
      <c r="H104" s="22" t="s">
        <v>511</v>
      </c>
      <c r="I104" s="40" t="s">
        <v>501</v>
      </c>
      <c r="J104" s="40" t="s">
        <v>501</v>
      </c>
      <c r="K104" s="46"/>
      <c r="L104" s="27"/>
      <c r="M104" s="27"/>
      <c r="N104" s="27"/>
    </row>
    <row r="105" spans="1:14">
      <c r="A105" s="23"/>
      <c r="B105" s="21"/>
      <c r="C105" s="21"/>
      <c r="D105" s="21" t="s">
        <v>452</v>
      </c>
      <c r="E105" s="21"/>
      <c r="F105" s="13" t="s">
        <v>454</v>
      </c>
      <c r="G105" s="21" t="s">
        <v>453</v>
      </c>
      <c r="H105" s="22" t="s">
        <v>511</v>
      </c>
      <c r="I105" s="40" t="s">
        <v>502</v>
      </c>
      <c r="J105" s="40" t="s">
        <v>501</v>
      </c>
      <c r="K105" s="46"/>
      <c r="L105" s="27"/>
      <c r="M105" s="27"/>
      <c r="N105" s="27"/>
    </row>
    <row r="106" spans="1:14">
      <c r="A106" s="23"/>
      <c r="B106" s="21"/>
      <c r="C106" s="21" t="s">
        <v>37</v>
      </c>
      <c r="D106" s="21"/>
      <c r="E106" s="21"/>
      <c r="F106" s="13" t="s">
        <v>461</v>
      </c>
      <c r="G106" s="21" t="s">
        <v>316</v>
      </c>
      <c r="H106" s="22" t="s">
        <v>511</v>
      </c>
      <c r="I106" s="40" t="s">
        <v>501</v>
      </c>
      <c r="J106" s="40" t="s">
        <v>502</v>
      </c>
      <c r="K106" s="46"/>
      <c r="L106" s="27"/>
      <c r="M106" s="27"/>
      <c r="N106" s="27"/>
    </row>
    <row r="107" spans="1:14">
      <c r="A107" s="41" t="s">
        <v>149</v>
      </c>
      <c r="B107" s="72" t="s">
        <v>31</v>
      </c>
      <c r="C107" s="72"/>
      <c r="D107" s="42"/>
      <c r="E107" s="42"/>
      <c r="F107" s="43" t="s">
        <v>317</v>
      </c>
      <c r="G107" s="42" t="s">
        <v>318</v>
      </c>
      <c r="H107" s="44" t="s">
        <v>511</v>
      </c>
      <c r="I107" s="44"/>
      <c r="J107" s="44"/>
      <c r="K107" s="48"/>
      <c r="L107" s="27"/>
      <c r="M107" s="27"/>
      <c r="N107" s="27"/>
    </row>
    <row r="108" spans="1:14">
      <c r="A108" s="41"/>
      <c r="B108" s="72" t="s">
        <v>47</v>
      </c>
      <c r="C108" s="72"/>
      <c r="D108" s="42"/>
      <c r="E108" s="42"/>
      <c r="F108" s="43" t="s">
        <v>317</v>
      </c>
      <c r="G108" s="42" t="s">
        <v>319</v>
      </c>
      <c r="H108" s="44" t="s">
        <v>511</v>
      </c>
      <c r="I108" s="44"/>
      <c r="J108" s="44"/>
      <c r="K108" s="48"/>
      <c r="L108" s="27"/>
      <c r="M108" s="27"/>
      <c r="N108" s="27"/>
    </row>
    <row r="109" spans="1:14">
      <c r="A109" s="41"/>
      <c r="B109" s="72" t="s">
        <v>60</v>
      </c>
      <c r="C109" s="72"/>
      <c r="D109" s="42"/>
      <c r="E109" s="42"/>
      <c r="F109" s="43" t="s">
        <v>317</v>
      </c>
      <c r="G109" s="42" t="s">
        <v>320</v>
      </c>
      <c r="H109" s="44" t="s">
        <v>511</v>
      </c>
      <c r="I109" s="44"/>
      <c r="J109" s="44"/>
      <c r="K109" s="48"/>
      <c r="L109" s="27"/>
      <c r="M109" s="27"/>
      <c r="N109" s="27"/>
    </row>
    <row r="110" spans="1:14">
      <c r="A110" s="41"/>
      <c r="B110" s="72" t="s">
        <v>61</v>
      </c>
      <c r="C110" s="72"/>
      <c r="D110" s="42"/>
      <c r="E110" s="42"/>
      <c r="F110" s="43" t="s">
        <v>317</v>
      </c>
      <c r="G110" s="42" t="s">
        <v>321</v>
      </c>
      <c r="H110" s="44" t="s">
        <v>511</v>
      </c>
      <c r="I110" s="44"/>
      <c r="J110" s="44"/>
      <c r="K110" s="48"/>
      <c r="L110" s="27"/>
      <c r="M110" s="27"/>
      <c r="N110" s="27"/>
    </row>
    <row r="111" spans="1:14">
      <c r="A111" s="41"/>
      <c r="B111" s="72" t="s">
        <v>62</v>
      </c>
      <c r="C111" s="72"/>
      <c r="D111" s="42"/>
      <c r="E111" s="42"/>
      <c r="F111" s="43" t="s">
        <v>317</v>
      </c>
      <c r="G111" s="42" t="s">
        <v>322</v>
      </c>
      <c r="H111" s="44" t="s">
        <v>511</v>
      </c>
      <c r="I111" s="44"/>
      <c r="J111" s="44"/>
      <c r="K111" s="48"/>
      <c r="L111" s="27"/>
      <c r="M111" s="27"/>
      <c r="N111" s="27"/>
    </row>
    <row r="112" spans="1:14">
      <c r="A112" s="41"/>
      <c r="B112" s="72" t="s">
        <v>63</v>
      </c>
      <c r="C112" s="72"/>
      <c r="D112" s="42"/>
      <c r="E112" s="42"/>
      <c r="F112" s="43" t="s">
        <v>317</v>
      </c>
      <c r="G112" s="42" t="s">
        <v>323</v>
      </c>
      <c r="H112" s="44" t="s">
        <v>511</v>
      </c>
      <c r="I112" s="44"/>
      <c r="J112" s="44"/>
      <c r="K112" s="48"/>
      <c r="L112" s="27"/>
      <c r="M112" s="27"/>
      <c r="N112" s="27"/>
    </row>
    <row r="113" spans="1:14">
      <c r="A113" s="41"/>
      <c r="B113" s="72" t="s">
        <v>64</v>
      </c>
      <c r="C113" s="72"/>
      <c r="D113" s="42"/>
      <c r="E113" s="42"/>
      <c r="F113" s="43" t="s">
        <v>317</v>
      </c>
      <c r="G113" s="42" t="s">
        <v>324</v>
      </c>
      <c r="H113" s="44" t="s">
        <v>511</v>
      </c>
      <c r="I113" s="44"/>
      <c r="J113" s="44"/>
      <c r="K113" s="48"/>
      <c r="L113" s="27"/>
      <c r="M113" s="27"/>
      <c r="N113" s="27"/>
    </row>
    <row r="114" spans="1:14">
      <c r="A114" s="41"/>
      <c r="B114" s="72" t="s">
        <v>65</v>
      </c>
      <c r="C114" s="72"/>
      <c r="D114" s="42"/>
      <c r="E114" s="42"/>
      <c r="F114" s="43" t="s">
        <v>317</v>
      </c>
      <c r="G114" s="42" t="s">
        <v>325</v>
      </c>
      <c r="H114" s="44" t="s">
        <v>511</v>
      </c>
      <c r="I114" s="44"/>
      <c r="J114" s="44"/>
      <c r="K114" s="48"/>
      <c r="L114" s="27"/>
      <c r="M114" s="27"/>
      <c r="N114" s="27"/>
    </row>
    <row r="115" spans="1:14">
      <c r="A115" s="41"/>
      <c r="B115" s="72" t="s">
        <v>66</v>
      </c>
      <c r="C115" s="72"/>
      <c r="D115" s="42"/>
      <c r="E115" s="42"/>
      <c r="F115" s="43" t="s">
        <v>317</v>
      </c>
      <c r="G115" s="42" t="s">
        <v>326</v>
      </c>
      <c r="H115" s="44" t="s">
        <v>511</v>
      </c>
      <c r="I115" s="44"/>
      <c r="J115" s="44"/>
      <c r="K115" s="48"/>
      <c r="L115" s="27"/>
      <c r="M115" s="27"/>
      <c r="N115" s="27"/>
    </row>
    <row r="116" spans="1:14">
      <c r="A116" s="41"/>
      <c r="B116" s="72" t="s">
        <v>67</v>
      </c>
      <c r="C116" s="72"/>
      <c r="D116" s="42"/>
      <c r="E116" s="42"/>
      <c r="F116" s="43" t="s">
        <v>317</v>
      </c>
      <c r="G116" s="42" t="s">
        <v>327</v>
      </c>
      <c r="H116" s="44" t="s">
        <v>511</v>
      </c>
      <c r="I116" s="44"/>
      <c r="J116" s="44"/>
      <c r="K116" s="48"/>
      <c r="L116" s="27"/>
      <c r="M116" s="27"/>
      <c r="N116" s="27"/>
    </row>
    <row r="117" spans="1:14">
      <c r="A117" s="41"/>
      <c r="B117" s="72" t="s">
        <v>68</v>
      </c>
      <c r="C117" s="72"/>
      <c r="D117" s="42"/>
      <c r="E117" s="42"/>
      <c r="F117" s="43" t="s">
        <v>317</v>
      </c>
      <c r="G117" s="42" t="s">
        <v>328</v>
      </c>
      <c r="H117" s="44" t="s">
        <v>511</v>
      </c>
      <c r="I117" s="44"/>
      <c r="J117" s="44"/>
      <c r="K117" s="48"/>
      <c r="L117" s="27"/>
      <c r="M117" s="27"/>
      <c r="N117" s="27"/>
    </row>
    <row r="118" spans="1:14">
      <c r="A118" s="41"/>
      <c r="B118" s="72" t="s">
        <v>19</v>
      </c>
      <c r="C118" s="72"/>
      <c r="D118" s="42"/>
      <c r="E118" s="42"/>
      <c r="F118" s="43" t="s">
        <v>317</v>
      </c>
      <c r="G118" s="42" t="s">
        <v>329</v>
      </c>
      <c r="H118" s="44" t="s">
        <v>511</v>
      </c>
      <c r="I118" s="44"/>
      <c r="J118" s="44"/>
      <c r="K118" s="48"/>
      <c r="L118" s="27"/>
      <c r="M118" s="27"/>
      <c r="N118" s="27"/>
    </row>
    <row r="119" spans="1:14">
      <c r="A119" s="28"/>
      <c r="B119" s="73" t="s">
        <v>69</v>
      </c>
      <c r="C119" s="73"/>
      <c r="D119" s="29"/>
      <c r="E119" s="29"/>
      <c r="F119" s="30" t="s">
        <v>317</v>
      </c>
      <c r="G119" s="29" t="s">
        <v>330</v>
      </c>
      <c r="H119" s="31" t="s">
        <v>511</v>
      </c>
      <c r="I119" s="31"/>
      <c r="J119" s="31"/>
      <c r="K119" s="49"/>
    </row>
    <row r="120" spans="1:14">
      <c r="A120" s="28"/>
      <c r="B120" s="73" t="s">
        <v>70</v>
      </c>
      <c r="C120" s="73"/>
      <c r="D120" s="29"/>
      <c r="E120" s="29"/>
      <c r="F120" s="30" t="s">
        <v>317</v>
      </c>
      <c r="G120" s="29" t="s">
        <v>331</v>
      </c>
      <c r="H120" s="31" t="s">
        <v>511</v>
      </c>
      <c r="I120" s="31"/>
      <c r="J120" s="31"/>
      <c r="K120" s="49"/>
    </row>
  </sheetData>
  <mergeCells count="32">
    <mergeCell ref="B111:C111"/>
    <mergeCell ref="B107:C107"/>
    <mergeCell ref="B108:C108"/>
    <mergeCell ref="B109:C109"/>
    <mergeCell ref="B110:C110"/>
    <mergeCell ref="B118:C118"/>
    <mergeCell ref="B119:C119"/>
    <mergeCell ref="B120:C120"/>
    <mergeCell ref="B112:C112"/>
    <mergeCell ref="B113:C113"/>
    <mergeCell ref="B114:C114"/>
    <mergeCell ref="B115:C115"/>
    <mergeCell ref="B116:C116"/>
    <mergeCell ref="B117:C117"/>
    <mergeCell ref="E11:E12"/>
    <mergeCell ref="D11:D12"/>
    <mergeCell ref="I11:J11"/>
    <mergeCell ref="I1:J1"/>
    <mergeCell ref="H1:H2"/>
    <mergeCell ref="G1:G2"/>
    <mergeCell ref="F1:F2"/>
    <mergeCell ref="F9:G9"/>
    <mergeCell ref="A1:E2"/>
    <mergeCell ref="C11:C12"/>
    <mergeCell ref="B11:B12"/>
    <mergeCell ref="A11:A12"/>
    <mergeCell ref="K1:K2"/>
    <mergeCell ref="K3:K9"/>
    <mergeCell ref="H11:H12"/>
    <mergeCell ref="G11:G12"/>
    <mergeCell ref="F11:F12"/>
    <mergeCell ref="K11:K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6" fitToHeight="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K189"/>
  <sheetViews>
    <sheetView workbookViewId="0">
      <pane ySplit="12" topLeftCell="A13" activePane="bottomLeft" state="frozen"/>
      <selection pane="bottomLeft" activeCell="K34" sqref="K34"/>
    </sheetView>
  </sheetViews>
  <sheetFormatPr defaultRowHeight="12.75" customHeight="1"/>
  <cols>
    <col min="1" max="1" width="12.25" style="3" bestFit="1" customWidth="1"/>
    <col min="2" max="2" width="15.5" style="3" bestFit="1" customWidth="1"/>
    <col min="3" max="3" width="17.25" style="3" bestFit="1" customWidth="1"/>
    <col min="4" max="4" width="18.25" style="3" customWidth="1"/>
    <col min="5" max="5" width="22.375" style="3" customWidth="1"/>
    <col min="6" max="6" width="7.75" style="5" customWidth="1"/>
    <col min="7" max="7" width="36.375" style="3" customWidth="1"/>
    <col min="8" max="8" width="9.125" style="3" customWidth="1"/>
    <col min="9" max="10" width="9.125" style="5" customWidth="1"/>
    <col min="11" max="11" width="25" style="3" customWidth="1"/>
    <col min="12" max="16384" width="9" style="3"/>
  </cols>
  <sheetData>
    <row r="1" spans="1:11" ht="12" customHeight="1">
      <c r="A1" s="71" t="s">
        <v>522</v>
      </c>
      <c r="B1" s="71"/>
      <c r="C1" s="71"/>
      <c r="D1" s="71"/>
      <c r="E1" s="71"/>
      <c r="F1" s="67" t="s">
        <v>71</v>
      </c>
      <c r="G1" s="62" t="s">
        <v>506</v>
      </c>
      <c r="H1" s="62" t="s">
        <v>507</v>
      </c>
      <c r="I1" s="66" t="s">
        <v>298</v>
      </c>
      <c r="J1" s="66"/>
      <c r="K1" s="57" t="s">
        <v>510</v>
      </c>
    </row>
    <row r="2" spans="1:11" ht="12" customHeight="1">
      <c r="A2" s="71"/>
      <c r="B2" s="71"/>
      <c r="C2" s="71"/>
      <c r="D2" s="71"/>
      <c r="E2" s="71"/>
      <c r="F2" s="68"/>
      <c r="G2" s="63"/>
      <c r="H2" s="63"/>
      <c r="I2" s="56" t="s">
        <v>332</v>
      </c>
      <c r="J2" s="56" t="s">
        <v>509</v>
      </c>
      <c r="K2" s="58"/>
    </row>
    <row r="3" spans="1:11" ht="12" customHeight="1">
      <c r="A3" s="36"/>
      <c r="B3" s="36"/>
      <c r="C3" s="36"/>
      <c r="D3" s="36"/>
      <c r="E3" s="36"/>
      <c r="F3" s="35" t="s">
        <v>72</v>
      </c>
      <c r="G3" s="38" t="s">
        <v>491</v>
      </c>
      <c r="H3" s="32">
        <f>SUMPRODUCT(N(MID(F13:F128,1,1)="D"))</f>
        <v>85</v>
      </c>
      <c r="I3" s="50"/>
      <c r="J3" s="51"/>
      <c r="K3" s="59">
        <f>(I9*0.8+J9*0.2)/H9</f>
        <v>0.70000000000000007</v>
      </c>
    </row>
    <row r="4" spans="1:11" ht="12" customHeight="1">
      <c r="A4" s="37" t="s">
        <v>498</v>
      </c>
      <c r="B4" s="37" t="s">
        <v>520</v>
      </c>
      <c r="C4" s="36"/>
      <c r="D4" s="36"/>
      <c r="E4" s="36"/>
      <c r="F4" s="35" t="s">
        <v>460</v>
      </c>
      <c r="G4" s="38" t="s">
        <v>492</v>
      </c>
      <c r="H4" s="32">
        <f>SUMPRODUCT(N(MID(F13:F128,1,2)="Pl"))</f>
        <v>0</v>
      </c>
      <c r="I4" s="52"/>
      <c r="J4" s="53"/>
      <c r="K4" s="60"/>
    </row>
    <row r="5" spans="1:11" ht="12" customHeight="1">
      <c r="A5" s="37" t="s">
        <v>499</v>
      </c>
      <c r="B5" s="37" t="s">
        <v>500</v>
      </c>
      <c r="C5" s="36"/>
      <c r="D5" s="36"/>
      <c r="E5" s="36"/>
      <c r="F5" s="35" t="s">
        <v>303</v>
      </c>
      <c r="G5" s="38" t="s">
        <v>493</v>
      </c>
      <c r="H5" s="32">
        <f>SUMPRODUCT(N(MID(F13:F111,1,1)="B"))</f>
        <v>18</v>
      </c>
      <c r="I5" s="52"/>
      <c r="J5" s="53"/>
      <c r="K5" s="60"/>
    </row>
    <row r="6" spans="1:11" ht="12" customHeight="1">
      <c r="A6" s="36"/>
      <c r="B6" s="36"/>
      <c r="C6" s="36"/>
      <c r="D6" s="36"/>
      <c r="E6" s="36"/>
      <c r="F6" s="35" t="s">
        <v>456</v>
      </c>
      <c r="G6" s="38" t="s">
        <v>494</v>
      </c>
      <c r="H6" s="32">
        <f>SUMPRODUCT(N(MID(F13:F128,1,3)="Msg"))</f>
        <v>0</v>
      </c>
      <c r="I6" s="52"/>
      <c r="J6" s="53"/>
      <c r="K6" s="60"/>
    </row>
    <row r="7" spans="1:11" ht="12" customHeight="1">
      <c r="A7" s="36"/>
      <c r="B7" s="36"/>
      <c r="C7" s="36"/>
      <c r="D7" s="36"/>
      <c r="E7" s="36"/>
      <c r="F7" s="35" t="s">
        <v>517</v>
      </c>
      <c r="G7" s="38" t="s">
        <v>495</v>
      </c>
      <c r="H7" s="32">
        <f>SUMPRODUCT(N(MID(F13:F111,1,3)="Pop"))</f>
        <v>12</v>
      </c>
      <c r="I7" s="52"/>
      <c r="J7" s="53"/>
      <c r="K7" s="60"/>
    </row>
    <row r="8" spans="1:11" ht="12" customHeight="1">
      <c r="A8" s="36"/>
      <c r="B8" s="36"/>
      <c r="C8" s="36"/>
      <c r="D8" s="36"/>
      <c r="E8" s="36"/>
      <c r="F8" s="35" t="s">
        <v>518</v>
      </c>
      <c r="G8" s="38" t="s">
        <v>496</v>
      </c>
      <c r="H8" s="32">
        <f>SUMPRODUCT(N(MID(F13:F128,1,2)="MF"))</f>
        <v>1</v>
      </c>
      <c r="I8" s="52"/>
      <c r="J8" s="53"/>
      <c r="K8" s="60"/>
    </row>
    <row r="9" spans="1:11" ht="12" customHeight="1">
      <c r="A9" s="36"/>
      <c r="B9" s="36"/>
      <c r="C9" s="36"/>
      <c r="D9" s="36"/>
      <c r="E9" s="36"/>
      <c r="F9" s="69" t="s">
        <v>455</v>
      </c>
      <c r="G9" s="70"/>
      <c r="H9" s="33">
        <f>SUM(H3:H8)</f>
        <v>116</v>
      </c>
      <c r="I9" s="54">
        <f>SUMPRODUCT(N(MID(I13:I128,1,1)="V"))</f>
        <v>97</v>
      </c>
      <c r="J9" s="55">
        <f>SUMPRODUCT(N(MID(J13:J128,1,1)="V"))</f>
        <v>18</v>
      </c>
      <c r="K9" s="61"/>
    </row>
    <row r="10" spans="1:11" ht="12" customHeight="1">
      <c r="A10" s="18"/>
      <c r="B10" s="18"/>
      <c r="C10" s="18"/>
      <c r="D10" s="18"/>
      <c r="E10" s="18"/>
      <c r="F10" s="20"/>
      <c r="G10" s="19"/>
      <c r="H10" s="34"/>
      <c r="I10" s="34"/>
      <c r="J10" s="34"/>
      <c r="K10" s="34"/>
    </row>
    <row r="11" spans="1:11" s="2" customFormat="1" ht="12">
      <c r="A11" s="67" t="s">
        <v>78</v>
      </c>
      <c r="B11" s="62" t="s">
        <v>79</v>
      </c>
      <c r="C11" s="62" t="s">
        <v>76</v>
      </c>
      <c r="D11" s="62" t="s">
        <v>77</v>
      </c>
      <c r="E11" s="62" t="s">
        <v>265</v>
      </c>
      <c r="F11" s="62" t="s">
        <v>71</v>
      </c>
      <c r="G11" s="62" t="s">
        <v>81</v>
      </c>
      <c r="H11" s="62" t="s">
        <v>512</v>
      </c>
      <c r="I11" s="64" t="s">
        <v>378</v>
      </c>
      <c r="J11" s="65"/>
      <c r="K11" s="57" t="s">
        <v>80</v>
      </c>
    </row>
    <row r="12" spans="1:11" s="2" customFormat="1" ht="12">
      <c r="A12" s="68"/>
      <c r="B12" s="63"/>
      <c r="C12" s="63"/>
      <c r="D12" s="63"/>
      <c r="E12" s="63"/>
      <c r="F12" s="63"/>
      <c r="G12" s="63"/>
      <c r="H12" s="63"/>
      <c r="I12" s="56" t="s">
        <v>332</v>
      </c>
      <c r="J12" s="56" t="s">
        <v>509</v>
      </c>
      <c r="K12" s="58"/>
    </row>
    <row r="13" spans="1:11" ht="12.75" customHeight="1">
      <c r="A13" s="6" t="s">
        <v>52</v>
      </c>
      <c r="B13" s="7" t="s">
        <v>53</v>
      </c>
      <c r="C13" s="10"/>
      <c r="D13" s="10"/>
      <c r="E13" s="21"/>
      <c r="F13" s="8" t="s">
        <v>72</v>
      </c>
      <c r="G13" s="10" t="s">
        <v>112</v>
      </c>
      <c r="H13" s="9" t="s">
        <v>511</v>
      </c>
      <c r="I13" s="40" t="s">
        <v>514</v>
      </c>
      <c r="J13" s="40" t="s">
        <v>514</v>
      </c>
      <c r="K13" s="14"/>
    </row>
    <row r="14" spans="1:11" ht="12.75" customHeight="1">
      <c r="A14" s="6"/>
      <c r="B14" s="7" t="s">
        <v>54</v>
      </c>
      <c r="C14" s="10"/>
      <c r="D14" s="10"/>
      <c r="E14" s="21"/>
      <c r="F14" s="8" t="s">
        <v>72</v>
      </c>
      <c r="G14" s="10" t="s">
        <v>113</v>
      </c>
      <c r="H14" s="9" t="s">
        <v>511</v>
      </c>
      <c r="I14" s="40" t="s">
        <v>514</v>
      </c>
      <c r="J14" s="40" t="s">
        <v>514</v>
      </c>
      <c r="K14" s="14"/>
    </row>
    <row r="15" spans="1:11" ht="12.75" customHeight="1">
      <c r="A15" s="12"/>
      <c r="B15" s="10" t="s">
        <v>82</v>
      </c>
      <c r="C15" s="10"/>
      <c r="D15" s="10"/>
      <c r="E15" s="21"/>
      <c r="F15" s="8" t="s">
        <v>72</v>
      </c>
      <c r="G15" s="10" t="s">
        <v>114</v>
      </c>
      <c r="H15" s="9" t="s">
        <v>511</v>
      </c>
      <c r="I15" s="40"/>
      <c r="J15" s="40"/>
      <c r="K15" s="14"/>
    </row>
    <row r="16" spans="1:11" ht="12.75" customHeight="1">
      <c r="A16" s="23" t="s">
        <v>83</v>
      </c>
      <c r="B16" s="21" t="s">
        <v>88</v>
      </c>
      <c r="C16" s="21" t="s">
        <v>120</v>
      </c>
      <c r="D16" s="21"/>
      <c r="E16" s="21"/>
      <c r="F16" s="8" t="s">
        <v>72</v>
      </c>
      <c r="G16" s="21" t="s">
        <v>166</v>
      </c>
      <c r="H16" s="9" t="s">
        <v>511</v>
      </c>
      <c r="I16" s="40" t="s">
        <v>514</v>
      </c>
      <c r="J16" s="40" t="s">
        <v>515</v>
      </c>
      <c r="K16" s="14"/>
    </row>
    <row r="17" spans="1:11" ht="12.75" customHeight="1">
      <c r="A17" s="23"/>
      <c r="B17" s="21"/>
      <c r="C17" s="21" t="s">
        <v>125</v>
      </c>
      <c r="D17" s="21"/>
      <c r="E17" s="21"/>
      <c r="F17" s="8" t="s">
        <v>72</v>
      </c>
      <c r="G17" s="21" t="s">
        <v>165</v>
      </c>
      <c r="H17" s="9" t="s">
        <v>511</v>
      </c>
      <c r="I17" s="40"/>
      <c r="J17" s="40"/>
      <c r="K17" s="14"/>
    </row>
    <row r="18" spans="1:11" ht="12.75" customHeight="1">
      <c r="A18" s="23"/>
      <c r="B18" s="21"/>
      <c r="C18" s="21" t="s">
        <v>121</v>
      </c>
      <c r="D18" s="21"/>
      <c r="E18" s="21"/>
      <c r="F18" s="8" t="s">
        <v>72</v>
      </c>
      <c r="G18" s="21" t="s">
        <v>526</v>
      </c>
      <c r="H18" s="9" t="s">
        <v>512</v>
      </c>
      <c r="I18" s="40" t="s">
        <v>514</v>
      </c>
      <c r="J18" s="40" t="s">
        <v>514</v>
      </c>
      <c r="K18" s="24"/>
    </row>
    <row r="19" spans="1:11" ht="12.75" customHeight="1">
      <c r="A19" s="23"/>
      <c r="B19" s="21" t="s">
        <v>90</v>
      </c>
      <c r="C19" s="21" t="s">
        <v>120</v>
      </c>
      <c r="D19" s="21"/>
      <c r="E19" s="21"/>
      <c r="F19" s="8" t="s">
        <v>72</v>
      </c>
      <c r="G19" s="21" t="s">
        <v>167</v>
      </c>
      <c r="H19" s="9" t="s">
        <v>511</v>
      </c>
      <c r="I19" s="40" t="s">
        <v>514</v>
      </c>
      <c r="J19" s="40"/>
      <c r="K19" s="14"/>
    </row>
    <row r="20" spans="1:11" ht="12.75" customHeight="1">
      <c r="A20" s="23"/>
      <c r="B20" s="21"/>
      <c r="C20" s="21" t="s">
        <v>122</v>
      </c>
      <c r="D20" s="21"/>
      <c r="E20" s="21"/>
      <c r="F20" s="8" t="s">
        <v>72</v>
      </c>
      <c r="G20" s="21" t="s">
        <v>168</v>
      </c>
      <c r="H20" s="9" t="s">
        <v>511</v>
      </c>
      <c r="I20" s="40"/>
      <c r="J20" s="40"/>
      <c r="K20" s="14"/>
    </row>
    <row r="21" spans="1:11" ht="12.75" customHeight="1">
      <c r="A21" s="23"/>
      <c r="B21" s="21"/>
      <c r="C21" s="21"/>
      <c r="D21" s="21" t="s">
        <v>123</v>
      </c>
      <c r="E21" s="21"/>
      <c r="F21" s="8" t="s">
        <v>72</v>
      </c>
      <c r="G21" s="21" t="s">
        <v>169</v>
      </c>
      <c r="H21" s="9" t="s">
        <v>511</v>
      </c>
      <c r="I21" s="40"/>
      <c r="J21" s="40"/>
      <c r="K21" s="14"/>
    </row>
    <row r="22" spans="1:11" ht="12.75" customHeight="1">
      <c r="A22" s="23"/>
      <c r="B22" s="21"/>
      <c r="C22" s="21"/>
      <c r="D22" s="21" t="s">
        <v>124</v>
      </c>
      <c r="E22" s="21"/>
      <c r="F22" s="8" t="s">
        <v>72</v>
      </c>
      <c r="G22" s="21" t="s">
        <v>170</v>
      </c>
      <c r="H22" s="9" t="s">
        <v>511</v>
      </c>
      <c r="I22" s="40"/>
      <c r="J22" s="40"/>
      <c r="K22" s="14"/>
    </row>
    <row r="23" spans="1:11" ht="12.75" customHeight="1">
      <c r="A23" s="23"/>
      <c r="B23" s="21" t="s">
        <v>89</v>
      </c>
      <c r="C23" s="21" t="s">
        <v>120</v>
      </c>
      <c r="D23" s="21"/>
      <c r="E23" s="21"/>
      <c r="F23" s="8" t="s">
        <v>72</v>
      </c>
      <c r="G23" s="21" t="s">
        <v>172</v>
      </c>
      <c r="H23" s="9" t="s">
        <v>511</v>
      </c>
      <c r="I23" s="40"/>
      <c r="J23" s="40"/>
      <c r="K23" s="14"/>
    </row>
    <row r="24" spans="1:11" ht="12.75" customHeight="1">
      <c r="A24" s="23"/>
      <c r="B24" s="21"/>
      <c r="C24" s="21" t="s">
        <v>122</v>
      </c>
      <c r="D24" s="21"/>
      <c r="E24" s="21"/>
      <c r="F24" s="8" t="s">
        <v>72</v>
      </c>
      <c r="G24" s="21" t="s">
        <v>171</v>
      </c>
      <c r="H24" s="9" t="s">
        <v>511</v>
      </c>
      <c r="I24" s="40"/>
      <c r="J24" s="40"/>
      <c r="K24" s="14"/>
    </row>
    <row r="25" spans="1:11" ht="12.75" customHeight="1">
      <c r="A25" s="23"/>
      <c r="B25" s="21" t="s">
        <v>91</v>
      </c>
      <c r="C25" s="21" t="s">
        <v>120</v>
      </c>
      <c r="D25" s="21"/>
      <c r="E25" s="21"/>
      <c r="F25" s="8" t="s">
        <v>72</v>
      </c>
      <c r="G25" s="21" t="s">
        <v>173</v>
      </c>
      <c r="H25" s="9" t="s">
        <v>511</v>
      </c>
      <c r="I25" s="40"/>
      <c r="J25" s="40"/>
      <c r="K25" s="14"/>
    </row>
    <row r="26" spans="1:11" ht="12.75" customHeight="1">
      <c r="A26" s="23"/>
      <c r="B26" s="21"/>
      <c r="C26" s="21" t="s">
        <v>125</v>
      </c>
      <c r="D26" s="21"/>
      <c r="E26" s="21"/>
      <c r="F26" s="8" t="s">
        <v>72</v>
      </c>
      <c r="G26" s="21" t="s">
        <v>174</v>
      </c>
      <c r="H26" s="9" t="s">
        <v>511</v>
      </c>
      <c r="I26" s="40"/>
      <c r="J26" s="40"/>
      <c r="K26" s="14"/>
    </row>
    <row r="27" spans="1:11" ht="12.75" customHeight="1">
      <c r="A27" s="23" t="s">
        <v>84</v>
      </c>
      <c r="B27" s="21" t="s">
        <v>92</v>
      </c>
      <c r="C27" s="21" t="s">
        <v>120</v>
      </c>
      <c r="D27" s="21"/>
      <c r="E27" s="21"/>
      <c r="F27" s="8" t="s">
        <v>72</v>
      </c>
      <c r="G27" s="21" t="s">
        <v>175</v>
      </c>
      <c r="H27" s="9" t="s">
        <v>511</v>
      </c>
      <c r="I27" s="40"/>
      <c r="J27" s="40"/>
      <c r="K27" s="14"/>
    </row>
    <row r="28" spans="1:11" ht="12.75" customHeight="1">
      <c r="A28" s="23"/>
      <c r="B28" s="21"/>
      <c r="C28" s="21" t="s">
        <v>126</v>
      </c>
      <c r="D28" s="21"/>
      <c r="E28" s="21"/>
      <c r="F28" s="8" t="s">
        <v>72</v>
      </c>
      <c r="G28" s="21" t="s">
        <v>176</v>
      </c>
      <c r="H28" s="9" t="s">
        <v>511</v>
      </c>
      <c r="I28" s="40" t="s">
        <v>514</v>
      </c>
      <c r="J28" s="40" t="s">
        <v>514</v>
      </c>
      <c r="K28" s="14"/>
    </row>
    <row r="29" spans="1:11" ht="12.75" customHeight="1">
      <c r="A29" s="23"/>
      <c r="B29" s="21" t="s">
        <v>93</v>
      </c>
      <c r="C29" s="21" t="s">
        <v>115</v>
      </c>
      <c r="D29" s="21"/>
      <c r="E29" s="21"/>
      <c r="F29" s="8" t="s">
        <v>72</v>
      </c>
      <c r="G29" s="21" t="s">
        <v>199</v>
      </c>
      <c r="H29" s="9" t="s">
        <v>511</v>
      </c>
      <c r="I29" s="40" t="s">
        <v>514</v>
      </c>
      <c r="J29" s="40" t="s">
        <v>514</v>
      </c>
      <c r="K29" s="14"/>
    </row>
    <row r="30" spans="1:11" ht="12.75" customHeight="1">
      <c r="A30" s="23"/>
      <c r="B30" s="21"/>
      <c r="C30" s="21"/>
      <c r="D30" s="21" t="s">
        <v>129</v>
      </c>
      <c r="E30" s="21"/>
      <c r="F30" s="13" t="s">
        <v>516</v>
      </c>
      <c r="G30" s="21" t="s">
        <v>206</v>
      </c>
      <c r="H30" s="9" t="s">
        <v>511</v>
      </c>
      <c r="I30" s="40" t="s">
        <v>514</v>
      </c>
      <c r="J30" s="40" t="s">
        <v>514</v>
      </c>
      <c r="K30" s="14"/>
    </row>
    <row r="31" spans="1:11" ht="12.75" customHeight="1">
      <c r="A31" s="23"/>
      <c r="B31" s="21"/>
      <c r="C31" s="21"/>
      <c r="D31" s="21" t="s">
        <v>130</v>
      </c>
      <c r="E31" s="21"/>
      <c r="F31" s="13" t="s">
        <v>516</v>
      </c>
      <c r="G31" s="21" t="s">
        <v>205</v>
      </c>
      <c r="H31" s="9" t="s">
        <v>511</v>
      </c>
      <c r="I31" s="40" t="s">
        <v>514</v>
      </c>
      <c r="J31" s="40" t="s">
        <v>514</v>
      </c>
      <c r="K31" s="14"/>
    </row>
    <row r="32" spans="1:11" ht="12.75" customHeight="1">
      <c r="A32" s="23"/>
      <c r="B32" s="21"/>
      <c r="C32" s="21"/>
      <c r="D32" s="21" t="s">
        <v>127</v>
      </c>
      <c r="E32" s="21"/>
      <c r="F32" s="13" t="s">
        <v>516</v>
      </c>
      <c r="G32" s="21" t="s">
        <v>204</v>
      </c>
      <c r="H32" s="9" t="s">
        <v>511</v>
      </c>
      <c r="I32" s="40" t="s">
        <v>514</v>
      </c>
      <c r="J32" s="40" t="s">
        <v>514</v>
      </c>
      <c r="K32" s="14"/>
    </row>
    <row r="33" spans="1:11" ht="12.75" customHeight="1">
      <c r="A33" s="23"/>
      <c r="B33" s="21"/>
      <c r="C33" s="21"/>
      <c r="D33" s="21" t="s">
        <v>128</v>
      </c>
      <c r="E33" s="21"/>
      <c r="F33" s="13" t="s">
        <v>516</v>
      </c>
      <c r="G33" s="21" t="s">
        <v>197</v>
      </c>
      <c r="H33" s="9" t="s">
        <v>511</v>
      </c>
      <c r="I33" s="40" t="s">
        <v>514</v>
      </c>
      <c r="J33" s="40"/>
      <c r="K33" s="14"/>
    </row>
    <row r="34" spans="1:11" ht="12.75" customHeight="1">
      <c r="A34" s="23"/>
      <c r="B34" s="21"/>
      <c r="C34" s="21" t="s">
        <v>116</v>
      </c>
      <c r="D34" s="21"/>
      <c r="E34" s="21"/>
      <c r="F34" s="8" t="s">
        <v>72</v>
      </c>
      <c r="G34" s="21" t="s">
        <v>198</v>
      </c>
      <c r="H34" s="9" t="s">
        <v>511</v>
      </c>
      <c r="I34" s="40" t="s">
        <v>514</v>
      </c>
      <c r="J34" s="40" t="s">
        <v>514</v>
      </c>
      <c r="K34" s="14"/>
    </row>
    <row r="35" spans="1:11" ht="12.75" customHeight="1">
      <c r="A35" s="23"/>
      <c r="B35" s="21"/>
      <c r="C35" s="21"/>
      <c r="D35" s="21" t="s">
        <v>41</v>
      </c>
      <c r="E35" s="21"/>
      <c r="F35" s="13" t="s">
        <v>516</v>
      </c>
      <c r="G35" s="21" t="s">
        <v>210</v>
      </c>
      <c r="H35" s="9" t="s">
        <v>511</v>
      </c>
      <c r="I35" s="40" t="s">
        <v>514</v>
      </c>
      <c r="J35" s="40" t="s">
        <v>514</v>
      </c>
      <c r="K35" s="14"/>
    </row>
    <row r="36" spans="1:11" ht="12.75" customHeight="1">
      <c r="A36" s="23"/>
      <c r="B36" s="21"/>
      <c r="C36" s="21"/>
      <c r="D36" s="21" t="s">
        <v>131</v>
      </c>
      <c r="E36" s="21"/>
      <c r="F36" s="13" t="s">
        <v>516</v>
      </c>
      <c r="G36" s="21" t="s">
        <v>211</v>
      </c>
      <c r="H36" s="9" t="s">
        <v>511</v>
      </c>
      <c r="I36" s="40" t="s">
        <v>514</v>
      </c>
      <c r="J36" s="40" t="s">
        <v>514</v>
      </c>
      <c r="K36" s="14"/>
    </row>
    <row r="37" spans="1:11" ht="12.75" customHeight="1">
      <c r="A37" s="23"/>
      <c r="B37" s="21"/>
      <c r="C37" s="21"/>
      <c r="D37" s="21" t="s">
        <v>132</v>
      </c>
      <c r="E37" s="21"/>
      <c r="F37" s="13" t="s">
        <v>516</v>
      </c>
      <c r="G37" s="21" t="s">
        <v>209</v>
      </c>
      <c r="H37" s="9" t="s">
        <v>511</v>
      </c>
      <c r="I37" s="40" t="s">
        <v>514</v>
      </c>
      <c r="J37" s="40" t="s">
        <v>514</v>
      </c>
      <c r="K37" s="14"/>
    </row>
    <row r="38" spans="1:11" ht="12.75" customHeight="1">
      <c r="A38" s="23"/>
      <c r="B38" s="21"/>
      <c r="C38" s="21"/>
      <c r="D38" s="21" t="s">
        <v>133</v>
      </c>
      <c r="E38" s="21"/>
      <c r="F38" s="13" t="s">
        <v>516</v>
      </c>
      <c r="G38" s="21" t="s">
        <v>208</v>
      </c>
      <c r="H38" s="9" t="s">
        <v>511</v>
      </c>
      <c r="I38" s="40" t="s">
        <v>514</v>
      </c>
      <c r="J38" s="40" t="s">
        <v>514</v>
      </c>
      <c r="K38" s="14"/>
    </row>
    <row r="39" spans="1:11" ht="12.75" customHeight="1">
      <c r="A39" s="23"/>
      <c r="B39" s="21"/>
      <c r="C39" s="21"/>
      <c r="D39" s="21" t="s">
        <v>134</v>
      </c>
      <c r="E39" s="21"/>
      <c r="F39" s="13" t="s">
        <v>516</v>
      </c>
      <c r="G39" s="21" t="s">
        <v>207</v>
      </c>
      <c r="H39" s="9" t="s">
        <v>511</v>
      </c>
      <c r="I39" s="40" t="s">
        <v>514</v>
      </c>
      <c r="J39" s="40" t="s">
        <v>514</v>
      </c>
      <c r="K39" s="14"/>
    </row>
    <row r="40" spans="1:11" ht="12.75" customHeight="1">
      <c r="A40" s="23"/>
      <c r="B40" s="21"/>
      <c r="C40" s="21"/>
      <c r="D40" s="21" t="s">
        <v>128</v>
      </c>
      <c r="E40" s="21"/>
      <c r="F40" s="13" t="s">
        <v>516</v>
      </c>
      <c r="G40" s="21" t="s">
        <v>197</v>
      </c>
      <c r="H40" s="9" t="s">
        <v>511</v>
      </c>
      <c r="I40" s="40" t="s">
        <v>514</v>
      </c>
      <c r="J40" s="40"/>
      <c r="K40" s="14"/>
    </row>
    <row r="41" spans="1:11" ht="12.75" customHeight="1">
      <c r="A41" s="23"/>
      <c r="B41" s="21" t="s">
        <v>40</v>
      </c>
      <c r="C41" s="21" t="s">
        <v>94</v>
      </c>
      <c r="D41" s="21" t="s">
        <v>135</v>
      </c>
      <c r="E41" s="21"/>
      <c r="F41" s="8" t="s">
        <v>72</v>
      </c>
      <c r="G41" s="21" t="s">
        <v>194</v>
      </c>
      <c r="H41" s="9" t="s">
        <v>511</v>
      </c>
      <c r="I41" s="40" t="s">
        <v>514</v>
      </c>
      <c r="J41" s="40" t="s">
        <v>514</v>
      </c>
      <c r="K41" s="14"/>
    </row>
    <row r="42" spans="1:11" ht="12.75" customHeight="1">
      <c r="A42" s="23"/>
      <c r="B42" s="21"/>
      <c r="C42" s="21"/>
      <c r="D42" s="21" t="s">
        <v>136</v>
      </c>
      <c r="E42" s="21"/>
      <c r="F42" s="8" t="s">
        <v>72</v>
      </c>
      <c r="G42" s="21" t="s">
        <v>195</v>
      </c>
      <c r="H42" s="9" t="s">
        <v>511</v>
      </c>
      <c r="I42" s="40" t="s">
        <v>514</v>
      </c>
      <c r="J42" s="40" t="s">
        <v>514</v>
      </c>
      <c r="K42" s="14"/>
    </row>
    <row r="43" spans="1:11" ht="12.75" customHeight="1">
      <c r="A43" s="23"/>
      <c r="B43" s="21"/>
      <c r="C43" s="21" t="s">
        <v>95</v>
      </c>
      <c r="D43" s="21"/>
      <c r="E43" s="21"/>
      <c r="F43" s="8" t="s">
        <v>72</v>
      </c>
      <c r="G43" s="21" t="s">
        <v>196</v>
      </c>
      <c r="H43" s="9" t="s">
        <v>511</v>
      </c>
      <c r="I43" s="40" t="s">
        <v>514</v>
      </c>
      <c r="J43" s="40" t="s">
        <v>514</v>
      </c>
      <c r="K43" s="14"/>
    </row>
    <row r="44" spans="1:11" ht="12.75" customHeight="1">
      <c r="A44" s="23"/>
      <c r="B44" s="21"/>
      <c r="C44" s="21" t="s">
        <v>117</v>
      </c>
      <c r="D44" s="21"/>
      <c r="E44" s="21"/>
      <c r="F44" s="8" t="s">
        <v>72</v>
      </c>
      <c r="G44" s="21" t="s">
        <v>200</v>
      </c>
      <c r="H44" s="9" t="s">
        <v>511</v>
      </c>
      <c r="I44" s="40" t="s">
        <v>514</v>
      </c>
      <c r="J44" s="40"/>
      <c r="K44" s="14"/>
    </row>
    <row r="45" spans="1:11" ht="12.75" customHeight="1">
      <c r="A45" s="23"/>
      <c r="B45" s="21"/>
      <c r="C45" s="21"/>
      <c r="D45" s="21" t="s">
        <v>137</v>
      </c>
      <c r="E45" s="21"/>
      <c r="F45" s="13" t="s">
        <v>516</v>
      </c>
      <c r="G45" s="21" t="s">
        <v>201</v>
      </c>
      <c r="H45" s="9" t="s">
        <v>511</v>
      </c>
      <c r="I45" s="40" t="s">
        <v>514</v>
      </c>
      <c r="J45" s="40"/>
      <c r="K45" s="14"/>
    </row>
    <row r="46" spans="1:11" ht="12.75" customHeight="1">
      <c r="A46" s="23"/>
      <c r="B46" s="21"/>
      <c r="C46" s="21"/>
      <c r="D46" s="21" t="s">
        <v>128</v>
      </c>
      <c r="E46" s="21"/>
      <c r="F46" s="13" t="s">
        <v>516</v>
      </c>
      <c r="G46" s="21" t="s">
        <v>197</v>
      </c>
      <c r="H46" s="9" t="s">
        <v>511</v>
      </c>
      <c r="I46" s="40" t="s">
        <v>514</v>
      </c>
      <c r="J46" s="40"/>
      <c r="K46" s="14"/>
    </row>
    <row r="47" spans="1:11" ht="12.75" customHeight="1">
      <c r="A47" s="23" t="s">
        <v>85</v>
      </c>
      <c r="B47" s="21" t="s">
        <v>85</v>
      </c>
      <c r="C47" s="21"/>
      <c r="D47" s="21"/>
      <c r="E47" s="21"/>
      <c r="F47" s="8" t="s">
        <v>303</v>
      </c>
      <c r="G47" s="21" t="s">
        <v>177</v>
      </c>
      <c r="H47" s="9" t="s">
        <v>511</v>
      </c>
      <c r="I47" s="40" t="s">
        <v>513</v>
      </c>
      <c r="J47" s="40"/>
      <c r="K47" s="14"/>
    </row>
    <row r="48" spans="1:11" ht="12.75" customHeight="1">
      <c r="A48" s="23"/>
      <c r="B48" s="21"/>
      <c r="C48" s="21" t="s">
        <v>138</v>
      </c>
      <c r="D48" s="21"/>
      <c r="E48" s="21"/>
      <c r="F48" s="8" t="s">
        <v>303</v>
      </c>
      <c r="G48" s="21" t="s">
        <v>178</v>
      </c>
      <c r="H48" s="9" t="s">
        <v>511</v>
      </c>
      <c r="I48" s="40" t="s">
        <v>513</v>
      </c>
      <c r="J48" s="40"/>
      <c r="K48" s="14"/>
    </row>
    <row r="49" spans="1:11" ht="12.75" customHeight="1">
      <c r="A49" s="23"/>
      <c r="B49" s="21" t="s">
        <v>96</v>
      </c>
      <c r="C49" s="21" t="s">
        <v>523</v>
      </c>
      <c r="D49" s="21"/>
      <c r="E49" s="21"/>
      <c r="F49" s="8" t="s">
        <v>303</v>
      </c>
      <c r="G49" s="21" t="s">
        <v>179</v>
      </c>
      <c r="H49" s="9" t="s">
        <v>511</v>
      </c>
      <c r="I49" s="40" t="s">
        <v>502</v>
      </c>
      <c r="J49" s="40"/>
      <c r="K49" s="14"/>
    </row>
    <row r="50" spans="1:11" ht="12.75" customHeight="1">
      <c r="A50" s="23"/>
      <c r="B50" s="21"/>
      <c r="C50" s="21" t="s">
        <v>524</v>
      </c>
      <c r="D50" s="21"/>
      <c r="E50" s="21"/>
      <c r="F50" s="8" t="s">
        <v>303</v>
      </c>
      <c r="G50" s="21" t="s">
        <v>525</v>
      </c>
      <c r="H50" s="9" t="s">
        <v>511</v>
      </c>
      <c r="I50" s="40" t="s">
        <v>543</v>
      </c>
      <c r="J50" s="40"/>
      <c r="K50" s="24"/>
    </row>
    <row r="51" spans="1:11" ht="12.75" customHeight="1">
      <c r="A51" s="23"/>
      <c r="B51" s="21" t="s">
        <v>97</v>
      </c>
      <c r="C51" s="21" t="s">
        <v>120</v>
      </c>
      <c r="D51" s="21"/>
      <c r="E51" s="21"/>
      <c r="F51" s="8" t="s">
        <v>303</v>
      </c>
      <c r="G51" s="21" t="s">
        <v>180</v>
      </c>
      <c r="H51" s="9" t="s">
        <v>511</v>
      </c>
      <c r="I51" s="40" t="s">
        <v>543</v>
      </c>
      <c r="J51" s="40"/>
      <c r="K51" s="14"/>
    </row>
    <row r="52" spans="1:11" ht="12.75" customHeight="1">
      <c r="A52" s="23"/>
      <c r="B52" s="21"/>
      <c r="C52" s="21" t="s">
        <v>126</v>
      </c>
      <c r="D52" s="21"/>
      <c r="E52" s="21"/>
      <c r="F52" s="8" t="s">
        <v>303</v>
      </c>
      <c r="G52" s="21" t="s">
        <v>181</v>
      </c>
      <c r="H52" s="9" t="s">
        <v>511</v>
      </c>
      <c r="I52" s="40" t="s">
        <v>543</v>
      </c>
      <c r="J52" s="40"/>
      <c r="K52" s="14"/>
    </row>
    <row r="53" spans="1:11" ht="12.75" customHeight="1">
      <c r="A53" s="23"/>
      <c r="B53" s="21"/>
      <c r="C53" s="21" t="s">
        <v>139</v>
      </c>
      <c r="D53" s="21"/>
      <c r="E53" s="21"/>
      <c r="F53" s="8" t="s">
        <v>303</v>
      </c>
      <c r="G53" s="21" t="s">
        <v>182</v>
      </c>
      <c r="H53" s="9" t="s">
        <v>511</v>
      </c>
      <c r="I53" s="40" t="s">
        <v>543</v>
      </c>
      <c r="J53" s="40"/>
      <c r="K53" s="14"/>
    </row>
    <row r="54" spans="1:11" ht="12.75" customHeight="1">
      <c r="A54" s="23"/>
      <c r="B54" s="21" t="s">
        <v>98</v>
      </c>
      <c r="C54" s="21" t="s">
        <v>120</v>
      </c>
      <c r="D54" s="21"/>
      <c r="E54" s="21"/>
      <c r="F54" s="8" t="s">
        <v>303</v>
      </c>
      <c r="G54" s="21" t="s">
        <v>183</v>
      </c>
      <c r="H54" s="9" t="s">
        <v>511</v>
      </c>
      <c r="I54" s="40" t="s">
        <v>543</v>
      </c>
      <c r="J54" s="40"/>
      <c r="K54" s="14"/>
    </row>
    <row r="55" spans="1:11" ht="12.75" customHeight="1">
      <c r="A55" s="23"/>
      <c r="B55" s="21"/>
      <c r="C55" s="21" t="s">
        <v>126</v>
      </c>
      <c r="D55" s="21"/>
      <c r="E55" s="21"/>
      <c r="F55" s="8" t="s">
        <v>303</v>
      </c>
      <c r="G55" s="21" t="s">
        <v>184</v>
      </c>
      <c r="H55" s="9" t="s">
        <v>511</v>
      </c>
      <c r="I55" s="40" t="s">
        <v>543</v>
      </c>
      <c r="J55" s="40"/>
      <c r="K55" s="14"/>
    </row>
    <row r="56" spans="1:11" ht="12.75" customHeight="1">
      <c r="A56" s="23"/>
      <c r="B56" s="21" t="s">
        <v>99</v>
      </c>
      <c r="C56" s="21" t="s">
        <v>120</v>
      </c>
      <c r="D56" s="21"/>
      <c r="E56" s="21"/>
      <c r="F56" s="8" t="s">
        <v>303</v>
      </c>
      <c r="G56" s="21" t="s">
        <v>185</v>
      </c>
      <c r="H56" s="9" t="s">
        <v>511</v>
      </c>
      <c r="I56" s="40" t="s">
        <v>543</v>
      </c>
      <c r="J56" s="40"/>
      <c r="K56" s="14"/>
    </row>
    <row r="57" spans="1:11" ht="12.75" customHeight="1">
      <c r="A57" s="23"/>
      <c r="B57" s="21"/>
      <c r="C57" s="21" t="s">
        <v>126</v>
      </c>
      <c r="D57" s="21"/>
      <c r="E57" s="21"/>
      <c r="F57" s="8" t="s">
        <v>303</v>
      </c>
      <c r="G57" s="21" t="s">
        <v>186</v>
      </c>
      <c r="H57" s="9" t="s">
        <v>511</v>
      </c>
      <c r="I57" s="40" t="s">
        <v>543</v>
      </c>
      <c r="J57" s="40"/>
      <c r="K57" s="14"/>
    </row>
    <row r="58" spans="1:11" ht="12.75" customHeight="1">
      <c r="A58" s="23"/>
      <c r="B58" s="21"/>
      <c r="C58" s="21" t="s">
        <v>139</v>
      </c>
      <c r="D58" s="21"/>
      <c r="E58" s="21"/>
      <c r="F58" s="8" t="s">
        <v>303</v>
      </c>
      <c r="G58" s="21" t="s">
        <v>187</v>
      </c>
      <c r="H58" s="9" t="s">
        <v>511</v>
      </c>
      <c r="I58" s="40" t="s">
        <v>543</v>
      </c>
      <c r="J58" s="40"/>
      <c r="K58" s="14"/>
    </row>
    <row r="59" spans="1:11" ht="12.75" customHeight="1">
      <c r="A59" s="23"/>
      <c r="B59" s="21" t="s">
        <v>100</v>
      </c>
      <c r="C59" s="21" t="s">
        <v>120</v>
      </c>
      <c r="D59" s="21"/>
      <c r="E59" s="21"/>
      <c r="F59" s="8" t="s">
        <v>303</v>
      </c>
      <c r="G59" s="21" t="s">
        <v>188</v>
      </c>
      <c r="H59" s="9" t="s">
        <v>511</v>
      </c>
      <c r="I59" s="40" t="s">
        <v>543</v>
      </c>
      <c r="J59" s="40"/>
      <c r="K59" s="14"/>
    </row>
    <row r="60" spans="1:11" ht="12.75" customHeight="1">
      <c r="A60" s="23"/>
      <c r="B60" s="21"/>
      <c r="C60" s="21" t="s">
        <v>126</v>
      </c>
      <c r="D60" s="21"/>
      <c r="E60" s="21"/>
      <c r="F60" s="8" t="s">
        <v>303</v>
      </c>
      <c r="G60" s="21" t="s">
        <v>189</v>
      </c>
      <c r="H60" s="9" t="s">
        <v>511</v>
      </c>
      <c r="I60" s="40" t="s">
        <v>543</v>
      </c>
      <c r="J60" s="40"/>
      <c r="K60" s="14"/>
    </row>
    <row r="61" spans="1:11" ht="12.75" customHeight="1">
      <c r="A61" s="23"/>
      <c r="B61" s="21"/>
      <c r="C61" s="21" t="s">
        <v>139</v>
      </c>
      <c r="D61" s="21"/>
      <c r="E61" s="21"/>
      <c r="F61" s="8" t="s">
        <v>303</v>
      </c>
      <c r="G61" s="21" t="s">
        <v>190</v>
      </c>
      <c r="H61" s="9" t="s">
        <v>511</v>
      </c>
      <c r="I61" s="40" t="s">
        <v>543</v>
      </c>
      <c r="J61" s="40"/>
      <c r="K61" s="14"/>
    </row>
    <row r="62" spans="1:11" ht="12.75" customHeight="1">
      <c r="A62" s="23"/>
      <c r="B62" s="21" t="s">
        <v>101</v>
      </c>
      <c r="C62" s="21" t="s">
        <v>120</v>
      </c>
      <c r="D62" s="21"/>
      <c r="E62" s="21"/>
      <c r="F62" s="8" t="s">
        <v>303</v>
      </c>
      <c r="G62" s="21" t="s">
        <v>191</v>
      </c>
      <c r="H62" s="9" t="s">
        <v>511</v>
      </c>
      <c r="I62" s="40" t="s">
        <v>543</v>
      </c>
      <c r="J62" s="40"/>
      <c r="K62" s="14"/>
    </row>
    <row r="63" spans="1:11" ht="12.75" customHeight="1">
      <c r="A63" s="23"/>
      <c r="B63" s="21"/>
      <c r="C63" s="21" t="s">
        <v>126</v>
      </c>
      <c r="D63" s="21"/>
      <c r="E63" s="21"/>
      <c r="F63" s="8" t="s">
        <v>303</v>
      </c>
      <c r="G63" s="21" t="s">
        <v>192</v>
      </c>
      <c r="H63" s="9" t="s">
        <v>511</v>
      </c>
      <c r="I63" s="40" t="s">
        <v>543</v>
      </c>
      <c r="J63" s="40"/>
      <c r="K63" s="14"/>
    </row>
    <row r="64" spans="1:11" ht="12.75" customHeight="1">
      <c r="A64" s="23"/>
      <c r="B64" s="21"/>
      <c r="C64" s="21" t="s">
        <v>139</v>
      </c>
      <c r="D64" s="21"/>
      <c r="E64" s="21"/>
      <c r="F64" s="8" t="s">
        <v>303</v>
      </c>
      <c r="G64" s="21" t="s">
        <v>193</v>
      </c>
      <c r="H64" s="9" t="s">
        <v>511</v>
      </c>
      <c r="I64" s="40" t="s">
        <v>543</v>
      </c>
      <c r="J64" s="40"/>
      <c r="K64" s="14"/>
    </row>
    <row r="65" spans="1:11" customFormat="1" ht="12.75" customHeight="1">
      <c r="A65" s="23" t="s">
        <v>49</v>
      </c>
      <c r="B65" s="21" t="s">
        <v>212</v>
      </c>
      <c r="C65" s="25" t="s">
        <v>213</v>
      </c>
      <c r="D65" s="25"/>
      <c r="E65" s="25"/>
      <c r="F65" s="8" t="s">
        <v>72</v>
      </c>
      <c r="G65" s="21" t="s">
        <v>214</v>
      </c>
      <c r="H65" s="9" t="s">
        <v>511</v>
      </c>
      <c r="I65" s="40" t="s">
        <v>514</v>
      </c>
      <c r="J65" s="40"/>
      <c r="K65" s="24"/>
    </row>
    <row r="66" spans="1:11" customFormat="1" ht="12.75" customHeight="1">
      <c r="A66" s="23"/>
      <c r="B66" s="21"/>
      <c r="C66" s="25" t="s">
        <v>215</v>
      </c>
      <c r="D66" s="21" t="s">
        <v>216</v>
      </c>
      <c r="E66" s="21"/>
      <c r="F66" s="8" t="s">
        <v>72</v>
      </c>
      <c r="G66" s="21" t="s">
        <v>217</v>
      </c>
      <c r="H66" s="9" t="s">
        <v>511</v>
      </c>
      <c r="I66" s="40" t="s">
        <v>514</v>
      </c>
      <c r="J66" s="40"/>
      <c r="K66" s="24"/>
    </row>
    <row r="67" spans="1:11" customFormat="1" ht="12.75" customHeight="1">
      <c r="A67" s="23"/>
      <c r="B67" s="26"/>
      <c r="C67" s="25"/>
      <c r="D67" s="25" t="s">
        <v>218</v>
      </c>
      <c r="E67" s="25"/>
      <c r="F67" s="8" t="s">
        <v>72</v>
      </c>
      <c r="G67" s="21" t="s">
        <v>219</v>
      </c>
      <c r="H67" s="9" t="s">
        <v>511</v>
      </c>
      <c r="I67" s="40" t="s">
        <v>514</v>
      </c>
      <c r="J67" s="40"/>
      <c r="K67" s="24"/>
    </row>
    <row r="68" spans="1:11" customFormat="1" ht="12.75" customHeight="1">
      <c r="A68" s="23"/>
      <c r="B68" s="21"/>
      <c r="C68" s="25"/>
      <c r="D68" s="21" t="s">
        <v>220</v>
      </c>
      <c r="E68" s="21"/>
      <c r="F68" s="8" t="s">
        <v>72</v>
      </c>
      <c r="G68" s="21" t="s">
        <v>221</v>
      </c>
      <c r="H68" s="9" t="s">
        <v>511</v>
      </c>
      <c r="I68" s="40" t="s">
        <v>514</v>
      </c>
      <c r="J68" s="40"/>
      <c r="K68" s="24"/>
    </row>
    <row r="69" spans="1:11" customFormat="1" ht="12.75" customHeight="1">
      <c r="A69" s="23"/>
      <c r="B69" s="21"/>
      <c r="C69" s="25"/>
      <c r="D69" s="21" t="s">
        <v>222</v>
      </c>
      <c r="E69" s="21"/>
      <c r="F69" s="8" t="s">
        <v>72</v>
      </c>
      <c r="G69" s="21" t="s">
        <v>223</v>
      </c>
      <c r="H69" s="9" t="s">
        <v>511</v>
      </c>
      <c r="I69" s="40" t="s">
        <v>514</v>
      </c>
      <c r="J69" s="40"/>
      <c r="K69" s="24"/>
    </row>
    <row r="70" spans="1:11" customFormat="1" ht="12.75" customHeight="1">
      <c r="A70" s="23"/>
      <c r="B70" s="21"/>
      <c r="C70" s="25" t="s">
        <v>224</v>
      </c>
      <c r="D70" s="21" t="s">
        <v>216</v>
      </c>
      <c r="E70" s="21"/>
      <c r="F70" s="8" t="s">
        <v>72</v>
      </c>
      <c r="G70" s="21" t="s">
        <v>225</v>
      </c>
      <c r="H70" s="9" t="s">
        <v>511</v>
      </c>
      <c r="I70" s="40" t="s">
        <v>514</v>
      </c>
      <c r="J70" s="40"/>
      <c r="K70" s="24"/>
    </row>
    <row r="71" spans="1:11" customFormat="1" ht="12.75" customHeight="1">
      <c r="A71" s="23"/>
      <c r="B71" s="21"/>
      <c r="C71" s="25"/>
      <c r="D71" s="21" t="s">
        <v>220</v>
      </c>
      <c r="E71" s="21"/>
      <c r="F71" s="8" t="s">
        <v>72</v>
      </c>
      <c r="G71" s="21" t="s">
        <v>226</v>
      </c>
      <c r="H71" s="9" t="s">
        <v>511</v>
      </c>
      <c r="I71" s="40" t="s">
        <v>514</v>
      </c>
      <c r="J71" s="40"/>
      <c r="K71" s="24"/>
    </row>
    <row r="72" spans="1:11" customFormat="1" ht="12.75" customHeight="1">
      <c r="A72" s="23"/>
      <c r="B72" s="21"/>
      <c r="C72" s="25"/>
      <c r="D72" s="21" t="s">
        <v>222</v>
      </c>
      <c r="E72" s="21"/>
      <c r="F72" s="8" t="s">
        <v>72</v>
      </c>
      <c r="G72" s="21" t="s">
        <v>227</v>
      </c>
      <c r="H72" s="9" t="s">
        <v>511</v>
      </c>
      <c r="I72" s="40" t="s">
        <v>514</v>
      </c>
      <c r="J72" s="40"/>
      <c r="K72" s="24"/>
    </row>
    <row r="73" spans="1:11" customFormat="1" ht="12.75" customHeight="1">
      <c r="A73" s="23"/>
      <c r="B73" s="21"/>
      <c r="C73" s="25" t="s">
        <v>228</v>
      </c>
      <c r="D73" s="21" t="s">
        <v>216</v>
      </c>
      <c r="E73" s="21"/>
      <c r="F73" s="8" t="s">
        <v>72</v>
      </c>
      <c r="G73" s="21" t="s">
        <v>229</v>
      </c>
      <c r="H73" s="9" t="s">
        <v>511</v>
      </c>
      <c r="I73" s="40" t="s">
        <v>514</v>
      </c>
      <c r="J73" s="40"/>
      <c r="K73" s="24"/>
    </row>
    <row r="74" spans="1:11" customFormat="1" ht="12.75" customHeight="1">
      <c r="A74" s="23"/>
      <c r="B74" s="21"/>
      <c r="C74" s="25"/>
      <c r="D74" s="21" t="s">
        <v>220</v>
      </c>
      <c r="E74" s="21"/>
      <c r="F74" s="8" t="s">
        <v>72</v>
      </c>
      <c r="G74" s="21" t="s">
        <v>230</v>
      </c>
      <c r="H74" s="9" t="s">
        <v>511</v>
      </c>
      <c r="I74" s="40"/>
      <c r="J74" s="40"/>
      <c r="K74" s="24"/>
    </row>
    <row r="75" spans="1:11" customFormat="1" ht="12.75" customHeight="1">
      <c r="A75" s="23"/>
      <c r="B75" s="21"/>
      <c r="C75" s="25"/>
      <c r="D75" s="21" t="s">
        <v>222</v>
      </c>
      <c r="E75" s="21"/>
      <c r="F75" s="8" t="s">
        <v>72</v>
      </c>
      <c r="G75" s="21" t="s">
        <v>231</v>
      </c>
      <c r="H75" s="9" t="s">
        <v>511</v>
      </c>
      <c r="I75" s="40"/>
      <c r="J75" s="40"/>
      <c r="K75" s="24"/>
    </row>
    <row r="76" spans="1:11" customFormat="1" ht="12.75" customHeight="1">
      <c r="A76" s="23"/>
      <c r="B76" s="21"/>
      <c r="C76" s="25" t="s">
        <v>232</v>
      </c>
      <c r="D76" s="21" t="s">
        <v>216</v>
      </c>
      <c r="E76" s="21"/>
      <c r="F76" s="8" t="s">
        <v>72</v>
      </c>
      <c r="G76" s="21" t="s">
        <v>233</v>
      </c>
      <c r="H76" s="9" t="s">
        <v>511</v>
      </c>
      <c r="I76" s="40" t="s">
        <v>514</v>
      </c>
      <c r="J76" s="40"/>
      <c r="K76" s="24"/>
    </row>
    <row r="77" spans="1:11" customFormat="1" ht="12.75" customHeight="1">
      <c r="A77" s="23"/>
      <c r="B77" s="21"/>
      <c r="C77" s="25"/>
      <c r="D77" s="21" t="s">
        <v>220</v>
      </c>
      <c r="E77" s="21"/>
      <c r="F77" s="8" t="s">
        <v>72</v>
      </c>
      <c r="G77" s="21" t="s">
        <v>234</v>
      </c>
      <c r="H77" s="9" t="s">
        <v>511</v>
      </c>
      <c r="I77" s="40"/>
      <c r="J77" s="40"/>
      <c r="K77" s="24"/>
    </row>
    <row r="78" spans="1:11" customFormat="1" ht="12.75" customHeight="1">
      <c r="A78" s="23"/>
      <c r="B78" s="21"/>
      <c r="C78" s="25"/>
      <c r="D78" s="21" t="s">
        <v>222</v>
      </c>
      <c r="E78" s="21"/>
      <c r="F78" s="8" t="s">
        <v>72</v>
      </c>
      <c r="G78" s="21" t="s">
        <v>235</v>
      </c>
      <c r="H78" s="9" t="s">
        <v>511</v>
      </c>
      <c r="I78" s="40"/>
      <c r="J78" s="40"/>
      <c r="K78" s="24"/>
    </row>
    <row r="79" spans="1:11" customFormat="1" ht="12.75" customHeight="1">
      <c r="A79" s="23"/>
      <c r="B79" s="21"/>
      <c r="C79" s="25" t="s">
        <v>236</v>
      </c>
      <c r="D79" s="25"/>
      <c r="E79" s="25"/>
      <c r="F79" s="8" t="s">
        <v>72</v>
      </c>
      <c r="G79" s="21" t="s">
        <v>237</v>
      </c>
      <c r="H79" s="9" t="s">
        <v>511</v>
      </c>
      <c r="I79" s="40" t="s">
        <v>514</v>
      </c>
      <c r="J79" s="40"/>
      <c r="K79" s="24"/>
    </row>
    <row r="80" spans="1:11" customFormat="1" ht="12.75" customHeight="1">
      <c r="A80" s="23"/>
      <c r="B80" s="21"/>
      <c r="C80" s="21" t="s">
        <v>238</v>
      </c>
      <c r="D80" s="21"/>
      <c r="E80" s="21"/>
      <c r="F80" s="8" t="s">
        <v>72</v>
      </c>
      <c r="G80" s="21" t="s">
        <v>239</v>
      </c>
      <c r="H80" s="9" t="s">
        <v>511</v>
      </c>
      <c r="I80" s="40" t="s">
        <v>514</v>
      </c>
      <c r="J80" s="40"/>
      <c r="K80" s="24"/>
    </row>
    <row r="81" spans="1:11" customFormat="1" ht="12.75" customHeight="1">
      <c r="A81" s="23"/>
      <c r="B81" s="21"/>
      <c r="C81" s="21" t="s">
        <v>240</v>
      </c>
      <c r="D81" s="21"/>
      <c r="E81" s="21"/>
      <c r="F81" s="8" t="s">
        <v>72</v>
      </c>
      <c r="G81" s="21" t="s">
        <v>241</v>
      </c>
      <c r="H81" s="9" t="s">
        <v>511</v>
      </c>
      <c r="I81" s="40" t="s">
        <v>514</v>
      </c>
      <c r="J81" s="40"/>
      <c r="K81" s="24"/>
    </row>
    <row r="82" spans="1:11" customFormat="1" ht="12.75" customHeight="1">
      <c r="A82" s="23"/>
      <c r="B82" s="21"/>
      <c r="C82" s="21" t="s">
        <v>242</v>
      </c>
      <c r="D82" s="21"/>
      <c r="E82" s="21"/>
      <c r="F82" s="8" t="s">
        <v>72</v>
      </c>
      <c r="G82" s="21" t="s">
        <v>243</v>
      </c>
      <c r="H82" s="9" t="s">
        <v>511</v>
      </c>
      <c r="I82" s="40" t="s">
        <v>514</v>
      </c>
      <c r="J82" s="40"/>
      <c r="K82" s="24"/>
    </row>
    <row r="83" spans="1:11" customFormat="1" ht="12.75" customHeight="1">
      <c r="A83" s="23"/>
      <c r="B83" s="21" t="s">
        <v>102</v>
      </c>
      <c r="C83" s="21" t="s">
        <v>244</v>
      </c>
      <c r="D83" s="21"/>
      <c r="E83" s="21"/>
      <c r="F83" s="8" t="s">
        <v>72</v>
      </c>
      <c r="G83" s="21" t="s">
        <v>344</v>
      </c>
      <c r="H83" s="9" t="s">
        <v>511</v>
      </c>
      <c r="I83" s="40" t="s">
        <v>514</v>
      </c>
      <c r="J83" s="40"/>
      <c r="K83" s="24"/>
    </row>
    <row r="84" spans="1:11" customFormat="1" ht="12.75" customHeight="1">
      <c r="A84" s="23"/>
      <c r="B84" s="21"/>
      <c r="C84" s="21" t="s">
        <v>245</v>
      </c>
      <c r="D84" s="21"/>
      <c r="E84" s="21"/>
      <c r="F84" s="8" t="s">
        <v>72</v>
      </c>
      <c r="G84" s="21" t="s">
        <v>345</v>
      </c>
      <c r="H84" s="9" t="s">
        <v>511</v>
      </c>
      <c r="I84" s="40" t="s">
        <v>514</v>
      </c>
      <c r="J84" s="40"/>
      <c r="K84" s="24"/>
    </row>
    <row r="85" spans="1:11" customFormat="1" ht="12.75" customHeight="1">
      <c r="A85" s="23"/>
      <c r="B85" s="21"/>
      <c r="C85" s="21" t="s">
        <v>246</v>
      </c>
      <c r="D85" s="21"/>
      <c r="E85" s="21"/>
      <c r="F85" s="8" t="s">
        <v>72</v>
      </c>
      <c r="G85" s="21" t="s">
        <v>256</v>
      </c>
      <c r="H85" s="9" t="s">
        <v>511</v>
      </c>
      <c r="I85" s="40" t="s">
        <v>514</v>
      </c>
      <c r="J85" s="40"/>
      <c r="K85" s="24"/>
    </row>
    <row r="86" spans="1:11" customFormat="1" ht="12.75" customHeight="1">
      <c r="A86" s="23"/>
      <c r="B86" s="21" t="s">
        <v>103</v>
      </c>
      <c r="C86" s="21" t="s">
        <v>247</v>
      </c>
      <c r="D86" s="21" t="s">
        <v>348</v>
      </c>
      <c r="E86" s="21"/>
      <c r="F86" s="8" t="s">
        <v>72</v>
      </c>
      <c r="G86" s="21" t="s">
        <v>346</v>
      </c>
      <c r="H86" s="9" t="s">
        <v>511</v>
      </c>
      <c r="I86" s="40" t="s">
        <v>514</v>
      </c>
      <c r="J86" s="40"/>
      <c r="K86" s="24"/>
    </row>
    <row r="87" spans="1:11" customFormat="1" ht="12.75" customHeight="1">
      <c r="A87" s="23"/>
      <c r="B87" s="21"/>
      <c r="C87" s="21"/>
      <c r="D87" s="21" t="s">
        <v>349</v>
      </c>
      <c r="E87" s="21"/>
      <c r="F87" s="8" t="s">
        <v>72</v>
      </c>
      <c r="G87" s="21" t="s">
        <v>347</v>
      </c>
      <c r="H87" s="9" t="s">
        <v>511</v>
      </c>
      <c r="I87" s="40" t="s">
        <v>514</v>
      </c>
      <c r="J87" s="40"/>
      <c r="K87" s="24"/>
    </row>
    <row r="88" spans="1:11" customFormat="1" ht="12.75" customHeight="1">
      <c r="A88" s="23"/>
      <c r="B88" s="21"/>
      <c r="C88" s="21"/>
      <c r="D88" s="21" t="s">
        <v>350</v>
      </c>
      <c r="E88" s="21"/>
      <c r="F88" s="8" t="s">
        <v>72</v>
      </c>
      <c r="G88" s="21" t="s">
        <v>352</v>
      </c>
      <c r="H88" s="9" t="s">
        <v>511</v>
      </c>
      <c r="I88" s="40" t="s">
        <v>514</v>
      </c>
      <c r="J88" s="40"/>
      <c r="K88" s="24"/>
    </row>
    <row r="89" spans="1:11" customFormat="1" ht="12.75" customHeight="1">
      <c r="A89" s="23"/>
      <c r="B89" s="21"/>
      <c r="C89" s="21"/>
      <c r="D89" s="21" t="s">
        <v>351</v>
      </c>
      <c r="E89" s="21"/>
      <c r="F89" s="8" t="s">
        <v>72</v>
      </c>
      <c r="G89" s="21" t="s">
        <v>353</v>
      </c>
      <c r="H89" s="9" t="s">
        <v>511</v>
      </c>
      <c r="I89" s="40" t="s">
        <v>514</v>
      </c>
      <c r="J89" s="40"/>
      <c r="K89" s="24"/>
    </row>
    <row r="90" spans="1:11" customFormat="1" ht="12.75" customHeight="1">
      <c r="A90" s="23"/>
      <c r="B90" s="21"/>
      <c r="C90" s="21" t="s">
        <v>248</v>
      </c>
      <c r="D90" s="21"/>
      <c r="E90" s="21"/>
      <c r="F90" s="8" t="s">
        <v>72</v>
      </c>
      <c r="G90" s="21" t="s">
        <v>257</v>
      </c>
      <c r="H90" s="9" t="s">
        <v>511</v>
      </c>
      <c r="I90" s="40" t="s">
        <v>514</v>
      </c>
      <c r="J90" s="40"/>
      <c r="K90" s="24"/>
    </row>
    <row r="91" spans="1:11" customFormat="1" ht="12.75" customHeight="1">
      <c r="A91" s="23"/>
      <c r="B91" s="21" t="s">
        <v>249</v>
      </c>
      <c r="C91" s="21" t="s">
        <v>250</v>
      </c>
      <c r="D91" s="21"/>
      <c r="E91" s="21"/>
      <c r="F91" s="8" t="s">
        <v>72</v>
      </c>
      <c r="G91" s="21" t="s">
        <v>258</v>
      </c>
      <c r="H91" s="9" t="s">
        <v>511</v>
      </c>
      <c r="I91" s="40" t="s">
        <v>514</v>
      </c>
      <c r="J91" s="40"/>
      <c r="K91" s="24"/>
    </row>
    <row r="92" spans="1:11" customFormat="1" ht="12.75" customHeight="1">
      <c r="A92" s="23"/>
      <c r="B92" s="21"/>
      <c r="C92" s="21"/>
      <c r="D92" s="21" t="s">
        <v>374</v>
      </c>
      <c r="E92" s="21"/>
      <c r="F92" s="8" t="s">
        <v>72</v>
      </c>
      <c r="G92" s="21" t="s">
        <v>373</v>
      </c>
      <c r="H92" s="9" t="s">
        <v>511</v>
      </c>
      <c r="I92" s="40" t="s">
        <v>514</v>
      </c>
      <c r="J92" s="40"/>
      <c r="K92" s="24"/>
    </row>
    <row r="93" spans="1:11" customFormat="1" ht="12.75" customHeight="1">
      <c r="A93" s="23"/>
      <c r="B93" s="21"/>
      <c r="C93" s="21" t="s">
        <v>251</v>
      </c>
      <c r="D93" s="21"/>
      <c r="E93" s="21"/>
      <c r="F93" s="8" t="s">
        <v>72</v>
      </c>
      <c r="G93" s="21" t="s">
        <v>259</v>
      </c>
      <c r="H93" s="9" t="s">
        <v>511</v>
      </c>
      <c r="I93" s="40" t="s">
        <v>514</v>
      </c>
      <c r="J93" s="40"/>
      <c r="K93" s="24"/>
    </row>
    <row r="94" spans="1:11" customFormat="1" ht="12.75" customHeight="1">
      <c r="A94" s="23"/>
      <c r="B94" s="21"/>
      <c r="C94" s="21" t="s">
        <v>252</v>
      </c>
      <c r="D94" s="21"/>
      <c r="E94" s="21"/>
      <c r="F94" s="8" t="s">
        <v>72</v>
      </c>
      <c r="G94" s="21" t="s">
        <v>260</v>
      </c>
      <c r="H94" s="9" t="s">
        <v>511</v>
      </c>
      <c r="I94" s="40" t="s">
        <v>514</v>
      </c>
      <c r="J94" s="40"/>
      <c r="K94" s="24"/>
    </row>
    <row r="95" spans="1:11" customFormat="1" ht="12.75" customHeight="1">
      <c r="A95" s="23"/>
      <c r="B95" s="21" t="s">
        <v>521</v>
      </c>
      <c r="C95" s="21" t="s">
        <v>253</v>
      </c>
      <c r="D95" s="21" t="s">
        <v>371</v>
      </c>
      <c r="E95" s="21"/>
      <c r="F95" s="8" t="s">
        <v>72</v>
      </c>
      <c r="G95" s="21" t="s">
        <v>338</v>
      </c>
      <c r="H95" s="9" t="s">
        <v>511</v>
      </c>
      <c r="I95" s="40" t="s">
        <v>514</v>
      </c>
      <c r="J95" s="40"/>
      <c r="K95" s="24"/>
    </row>
    <row r="96" spans="1:11" customFormat="1" ht="12.75" customHeight="1">
      <c r="A96" s="23"/>
      <c r="B96" s="21"/>
      <c r="C96" s="21" t="s">
        <v>254</v>
      </c>
      <c r="D96" s="21" t="s">
        <v>372</v>
      </c>
      <c r="E96" s="21"/>
      <c r="F96" s="8" t="s">
        <v>72</v>
      </c>
      <c r="G96" s="21" t="s">
        <v>339</v>
      </c>
      <c r="H96" s="9" t="s">
        <v>511</v>
      </c>
      <c r="I96" s="40" t="s">
        <v>514</v>
      </c>
      <c r="J96" s="40"/>
      <c r="K96" s="24"/>
    </row>
    <row r="97" spans="1:11" customFormat="1" ht="12.75" customHeight="1">
      <c r="A97" s="23"/>
      <c r="B97" s="21"/>
      <c r="C97" s="21" t="s">
        <v>255</v>
      </c>
      <c r="D97" s="21" t="s">
        <v>369</v>
      </c>
      <c r="E97" s="21"/>
      <c r="F97" s="8" t="s">
        <v>72</v>
      </c>
      <c r="G97" s="21" t="s">
        <v>340</v>
      </c>
      <c r="H97" s="9" t="s">
        <v>511</v>
      </c>
      <c r="I97" s="40" t="s">
        <v>514</v>
      </c>
      <c r="J97" s="40"/>
      <c r="K97" s="24"/>
    </row>
    <row r="98" spans="1:11" customFormat="1" ht="12.75" customHeight="1">
      <c r="A98" s="23"/>
      <c r="B98" s="21"/>
      <c r="C98" s="21"/>
      <c r="D98" s="21" t="s">
        <v>370</v>
      </c>
      <c r="E98" s="21"/>
      <c r="F98" s="8" t="s">
        <v>72</v>
      </c>
      <c r="G98" s="21" t="s">
        <v>341</v>
      </c>
      <c r="H98" s="9" t="s">
        <v>511</v>
      </c>
      <c r="I98" s="40" t="s">
        <v>514</v>
      </c>
      <c r="J98" s="40"/>
      <c r="K98" s="24"/>
    </row>
    <row r="99" spans="1:11" customFormat="1" ht="12.75" customHeight="1">
      <c r="A99" s="23"/>
      <c r="B99" s="21" t="s">
        <v>333</v>
      </c>
      <c r="C99" s="21" t="s">
        <v>334</v>
      </c>
      <c r="D99" s="21" t="s">
        <v>367</v>
      </c>
      <c r="E99" s="21"/>
      <c r="F99" s="8" t="s">
        <v>72</v>
      </c>
      <c r="G99" s="21" t="s">
        <v>375</v>
      </c>
      <c r="H99" s="9" t="s">
        <v>511</v>
      </c>
      <c r="I99" s="40" t="s">
        <v>514</v>
      </c>
      <c r="J99" s="40"/>
      <c r="K99" s="24"/>
    </row>
    <row r="100" spans="1:11" customFormat="1" ht="12.75" customHeight="1">
      <c r="A100" s="23"/>
      <c r="B100" s="21"/>
      <c r="C100" s="21"/>
      <c r="D100" s="21" t="s">
        <v>368</v>
      </c>
      <c r="E100" s="21"/>
      <c r="F100" s="8" t="s">
        <v>72</v>
      </c>
      <c r="G100" s="21" t="s">
        <v>376</v>
      </c>
      <c r="H100" s="9" t="s">
        <v>511</v>
      </c>
      <c r="I100" s="40" t="s">
        <v>514</v>
      </c>
      <c r="J100" s="40"/>
      <c r="K100" s="24"/>
    </row>
    <row r="101" spans="1:11" customFormat="1" ht="12.75" customHeight="1">
      <c r="A101" s="23"/>
      <c r="B101" s="21"/>
      <c r="C101" s="21" t="s">
        <v>335</v>
      </c>
      <c r="D101" s="21"/>
      <c r="E101" s="21"/>
      <c r="F101" s="8" t="s">
        <v>72</v>
      </c>
      <c r="G101" s="21" t="s">
        <v>342</v>
      </c>
      <c r="H101" s="9" t="s">
        <v>511</v>
      </c>
      <c r="I101" s="40" t="s">
        <v>514</v>
      </c>
      <c r="J101" s="40"/>
      <c r="K101" s="24"/>
    </row>
    <row r="102" spans="1:11" customFormat="1" ht="12.75" customHeight="1">
      <c r="A102" s="23"/>
      <c r="B102" s="21"/>
      <c r="C102" s="21"/>
      <c r="D102" s="21"/>
      <c r="E102" s="21"/>
      <c r="F102" s="8" t="s">
        <v>72</v>
      </c>
      <c r="G102" s="21" t="s">
        <v>377</v>
      </c>
      <c r="H102" s="9" t="s">
        <v>511</v>
      </c>
      <c r="I102" s="40" t="s">
        <v>514</v>
      </c>
      <c r="J102" s="40"/>
      <c r="K102" s="24"/>
    </row>
    <row r="103" spans="1:11" customFormat="1" ht="12.75" customHeight="1">
      <c r="A103" s="23"/>
      <c r="B103" s="21"/>
      <c r="C103" s="21" t="s">
        <v>336</v>
      </c>
      <c r="D103" s="21"/>
      <c r="E103" s="21"/>
      <c r="F103" s="8" t="s">
        <v>72</v>
      </c>
      <c r="G103" s="21" t="s">
        <v>365</v>
      </c>
      <c r="H103" s="9" t="s">
        <v>511</v>
      </c>
      <c r="I103" s="40" t="s">
        <v>514</v>
      </c>
      <c r="J103" s="40"/>
      <c r="K103" s="24"/>
    </row>
    <row r="104" spans="1:11" customFormat="1" ht="12.75" customHeight="1">
      <c r="A104" s="23"/>
      <c r="B104" s="21"/>
      <c r="C104" s="21"/>
      <c r="D104" s="21"/>
      <c r="E104" s="21"/>
      <c r="F104" s="8" t="s">
        <v>72</v>
      </c>
      <c r="G104" s="21" t="s">
        <v>366</v>
      </c>
      <c r="H104" s="9" t="s">
        <v>511</v>
      </c>
      <c r="I104" s="40" t="s">
        <v>514</v>
      </c>
      <c r="J104" s="40"/>
      <c r="K104" s="24"/>
    </row>
    <row r="105" spans="1:11" customFormat="1" ht="12.75" customHeight="1">
      <c r="A105" s="23"/>
      <c r="B105" s="21"/>
      <c r="C105" s="21" t="s">
        <v>337</v>
      </c>
      <c r="D105" s="21"/>
      <c r="E105" s="21"/>
      <c r="F105" s="8" t="s">
        <v>72</v>
      </c>
      <c r="G105" s="21" t="s">
        <v>343</v>
      </c>
      <c r="H105" s="9" t="s">
        <v>511</v>
      </c>
      <c r="I105" s="40" t="s">
        <v>514</v>
      </c>
      <c r="J105" s="40"/>
      <c r="K105" s="24"/>
    </row>
    <row r="106" spans="1:11" ht="12.75" customHeight="1">
      <c r="A106" s="23" t="s">
        <v>86</v>
      </c>
      <c r="B106" s="21" t="s">
        <v>104</v>
      </c>
      <c r="C106" s="21" t="s">
        <v>140</v>
      </c>
      <c r="D106" s="21"/>
      <c r="E106" s="21"/>
      <c r="F106" s="8" t="s">
        <v>72</v>
      </c>
      <c r="G106" s="21" t="s">
        <v>156</v>
      </c>
      <c r="H106" s="9" t="s">
        <v>511</v>
      </c>
      <c r="I106" s="40" t="s">
        <v>514</v>
      </c>
      <c r="J106" s="40"/>
      <c r="K106" s="14"/>
    </row>
    <row r="107" spans="1:11" ht="12.75" customHeight="1">
      <c r="A107" s="23"/>
      <c r="B107" s="21"/>
      <c r="C107" s="21" t="s">
        <v>141</v>
      </c>
      <c r="D107" s="21"/>
      <c r="E107" s="21"/>
      <c r="F107" s="8" t="s">
        <v>72</v>
      </c>
      <c r="G107" s="21" t="s">
        <v>157</v>
      </c>
      <c r="H107" s="9" t="s">
        <v>511</v>
      </c>
      <c r="I107" s="40" t="s">
        <v>514</v>
      </c>
      <c r="J107" s="40"/>
      <c r="K107" s="14"/>
    </row>
    <row r="108" spans="1:11" ht="12.75" customHeight="1">
      <c r="A108" s="23"/>
      <c r="B108" s="21"/>
      <c r="C108" s="21" t="s">
        <v>142</v>
      </c>
      <c r="D108" s="21"/>
      <c r="E108" s="21"/>
      <c r="F108" s="8" t="s">
        <v>72</v>
      </c>
      <c r="G108" s="21" t="s">
        <v>158</v>
      </c>
      <c r="H108" s="9" t="s">
        <v>511</v>
      </c>
      <c r="I108" s="40" t="s">
        <v>514</v>
      </c>
      <c r="J108" s="40"/>
      <c r="K108" s="14"/>
    </row>
    <row r="109" spans="1:11" ht="12.75" customHeight="1">
      <c r="A109" s="23"/>
      <c r="B109" s="21"/>
      <c r="C109" s="21" t="s">
        <v>143</v>
      </c>
      <c r="D109" s="21"/>
      <c r="E109" s="21"/>
      <c r="F109" s="8" t="s">
        <v>72</v>
      </c>
      <c r="G109" s="21" t="s">
        <v>159</v>
      </c>
      <c r="H109" s="9" t="s">
        <v>511</v>
      </c>
      <c r="I109" s="40" t="s">
        <v>514</v>
      </c>
      <c r="J109" s="40"/>
      <c r="K109" s="14"/>
    </row>
    <row r="110" spans="1:11" ht="12.75" customHeight="1">
      <c r="A110" s="23"/>
      <c r="B110" s="21" t="s">
        <v>105</v>
      </c>
      <c r="C110" s="21"/>
      <c r="D110" s="21"/>
      <c r="E110" s="21"/>
      <c r="F110" s="8" t="s">
        <v>72</v>
      </c>
      <c r="G110" s="21" t="s">
        <v>160</v>
      </c>
      <c r="H110" s="9" t="s">
        <v>511</v>
      </c>
      <c r="I110" s="40" t="s">
        <v>514</v>
      </c>
      <c r="J110" s="40"/>
      <c r="K110" s="14"/>
    </row>
    <row r="111" spans="1:11" ht="12.75" customHeight="1">
      <c r="A111" s="23"/>
      <c r="B111" s="21" t="s">
        <v>118</v>
      </c>
      <c r="C111" s="21" t="s">
        <v>144</v>
      </c>
      <c r="D111" s="21"/>
      <c r="E111" s="21"/>
      <c r="F111" s="8" t="s">
        <v>72</v>
      </c>
      <c r="G111" s="21" t="s">
        <v>161</v>
      </c>
      <c r="H111" s="9" t="s">
        <v>511</v>
      </c>
      <c r="I111" s="40" t="s">
        <v>514</v>
      </c>
      <c r="J111" s="40"/>
      <c r="K111" s="14"/>
    </row>
    <row r="112" spans="1:11" ht="12.75" customHeight="1">
      <c r="A112" s="23"/>
      <c r="B112" s="21"/>
      <c r="C112" s="21" t="s">
        <v>145</v>
      </c>
      <c r="D112" s="21"/>
      <c r="E112" s="21"/>
      <c r="F112" s="8" t="s">
        <v>72</v>
      </c>
      <c r="G112" s="21" t="s">
        <v>164</v>
      </c>
      <c r="H112" s="9" t="s">
        <v>511</v>
      </c>
      <c r="I112" s="40" t="s">
        <v>514</v>
      </c>
      <c r="J112" s="40"/>
      <c r="K112" s="14"/>
    </row>
    <row r="113" spans="1:11" ht="12.75" customHeight="1">
      <c r="A113" s="23"/>
      <c r="B113" s="21"/>
      <c r="C113" s="21" t="s">
        <v>146</v>
      </c>
      <c r="D113" s="21"/>
      <c r="E113" s="21"/>
      <c r="F113" s="8" t="s">
        <v>72</v>
      </c>
      <c r="G113" s="21" t="s">
        <v>163</v>
      </c>
      <c r="H113" s="9" t="s">
        <v>511</v>
      </c>
      <c r="I113" s="40" t="s">
        <v>514</v>
      </c>
      <c r="J113" s="40"/>
      <c r="K113" s="14"/>
    </row>
    <row r="114" spans="1:11" ht="12.75" customHeight="1">
      <c r="A114" s="23"/>
      <c r="B114" s="21"/>
      <c r="C114" s="21" t="s">
        <v>147</v>
      </c>
      <c r="D114" s="21"/>
      <c r="E114" s="21"/>
      <c r="F114" s="8" t="s">
        <v>72</v>
      </c>
      <c r="G114" s="21" t="s">
        <v>162</v>
      </c>
      <c r="H114" s="9" t="s">
        <v>511</v>
      </c>
      <c r="I114" s="40" t="s">
        <v>514</v>
      </c>
      <c r="J114" s="40"/>
      <c r="K114" s="14"/>
    </row>
    <row r="115" spans="1:11" ht="12.75" customHeight="1">
      <c r="A115" s="23"/>
      <c r="B115" s="21" t="s">
        <v>119</v>
      </c>
      <c r="C115" s="21"/>
      <c r="D115" s="21"/>
      <c r="E115" s="21"/>
      <c r="F115" s="8" t="s">
        <v>72</v>
      </c>
      <c r="G115" s="21" t="s">
        <v>155</v>
      </c>
      <c r="H115" s="9" t="s">
        <v>511</v>
      </c>
      <c r="I115" s="40" t="s">
        <v>514</v>
      </c>
      <c r="J115" s="40"/>
      <c r="K115" s="14"/>
    </row>
    <row r="116" spans="1:11" ht="12.75" customHeight="1">
      <c r="A116" s="23" t="s">
        <v>87</v>
      </c>
      <c r="B116" s="21" t="s">
        <v>106</v>
      </c>
      <c r="C116" s="21"/>
      <c r="D116" s="21"/>
      <c r="E116" s="21"/>
      <c r="F116" s="8" t="s">
        <v>72</v>
      </c>
      <c r="G116" s="21" t="s">
        <v>154</v>
      </c>
      <c r="H116" s="9" t="s">
        <v>511</v>
      </c>
      <c r="I116" s="40"/>
      <c r="J116" s="40"/>
      <c r="K116" s="14"/>
    </row>
    <row r="117" spans="1:11" ht="12.75" customHeight="1">
      <c r="A117" s="23"/>
      <c r="B117" s="21" t="s">
        <v>107</v>
      </c>
      <c r="C117" s="21"/>
      <c r="D117" s="21"/>
      <c r="E117" s="21"/>
      <c r="F117" s="8" t="s">
        <v>72</v>
      </c>
      <c r="G117" s="21" t="s">
        <v>153</v>
      </c>
      <c r="H117" s="9" t="s">
        <v>511</v>
      </c>
      <c r="I117" s="40"/>
      <c r="J117" s="40"/>
      <c r="K117" s="14"/>
    </row>
    <row r="118" spans="1:11" ht="12.75" customHeight="1">
      <c r="A118" s="23"/>
      <c r="B118" s="21" t="s">
        <v>108</v>
      </c>
      <c r="C118" s="21" t="s">
        <v>110</v>
      </c>
      <c r="D118" s="21"/>
      <c r="E118" s="21"/>
      <c r="F118" s="8" t="s">
        <v>72</v>
      </c>
      <c r="G118" s="21" t="s">
        <v>151</v>
      </c>
      <c r="H118" s="9" t="s">
        <v>511</v>
      </c>
      <c r="I118" s="40" t="s">
        <v>544</v>
      </c>
      <c r="J118" s="40"/>
      <c r="K118" s="14"/>
    </row>
    <row r="119" spans="1:11" ht="12.75" customHeight="1">
      <c r="A119" s="23"/>
      <c r="B119" s="21"/>
      <c r="C119" s="21" t="s">
        <v>111</v>
      </c>
      <c r="D119" s="21"/>
      <c r="E119" s="21"/>
      <c r="F119" s="8" t="s">
        <v>72</v>
      </c>
      <c r="G119" s="21" t="s">
        <v>152</v>
      </c>
      <c r="H119" s="9" t="s">
        <v>511</v>
      </c>
      <c r="I119" s="40" t="s">
        <v>544</v>
      </c>
      <c r="J119" s="40"/>
      <c r="K119" s="14"/>
    </row>
    <row r="120" spans="1:11" ht="12.75" customHeight="1">
      <c r="A120" s="23"/>
      <c r="B120" s="21" t="s">
        <v>202</v>
      </c>
      <c r="C120" s="21"/>
      <c r="D120" s="21"/>
      <c r="E120" s="21"/>
      <c r="F120" s="8" t="s">
        <v>72</v>
      </c>
      <c r="G120" s="21" t="s">
        <v>203</v>
      </c>
      <c r="H120" s="9" t="s">
        <v>511</v>
      </c>
      <c r="I120" s="40" t="s">
        <v>544</v>
      </c>
      <c r="J120" s="40"/>
      <c r="K120" s="14"/>
    </row>
    <row r="121" spans="1:11" ht="12.75" customHeight="1">
      <c r="A121" s="23"/>
      <c r="B121" s="21" t="s">
        <v>109</v>
      </c>
      <c r="C121" s="21"/>
      <c r="D121" s="21"/>
      <c r="E121" s="21"/>
      <c r="F121" s="8" t="s">
        <v>72</v>
      </c>
      <c r="G121" s="21" t="s">
        <v>150</v>
      </c>
      <c r="H121" s="9" t="s">
        <v>511</v>
      </c>
      <c r="I121" s="40" t="s">
        <v>544</v>
      </c>
      <c r="J121" s="40"/>
      <c r="K121" s="14"/>
    </row>
    <row r="122" spans="1:11" ht="12.75" customHeight="1">
      <c r="A122" s="23"/>
      <c r="B122" s="21" t="s">
        <v>354</v>
      </c>
      <c r="C122" s="21" t="s">
        <v>355</v>
      </c>
      <c r="D122" s="21"/>
      <c r="E122" s="21"/>
      <c r="F122" s="8" t="s">
        <v>72</v>
      </c>
      <c r="G122" s="21" t="s">
        <v>359</v>
      </c>
      <c r="H122" s="9" t="s">
        <v>511</v>
      </c>
      <c r="I122" s="40" t="s">
        <v>544</v>
      </c>
      <c r="J122" s="40"/>
      <c r="K122" s="24"/>
    </row>
    <row r="123" spans="1:11" ht="12.75" customHeight="1">
      <c r="A123" s="23"/>
      <c r="B123" s="21"/>
      <c r="C123" s="21"/>
      <c r="D123" s="21" t="s">
        <v>357</v>
      </c>
      <c r="E123" s="21"/>
      <c r="F123" s="8" t="s">
        <v>72</v>
      </c>
      <c r="G123" s="21" t="s">
        <v>360</v>
      </c>
      <c r="H123" s="9" t="s">
        <v>511</v>
      </c>
      <c r="I123" s="40" t="s">
        <v>544</v>
      </c>
      <c r="J123" s="40"/>
      <c r="K123" s="24"/>
    </row>
    <row r="124" spans="1:11" ht="12.75" customHeight="1">
      <c r="A124" s="23"/>
      <c r="B124" s="21"/>
      <c r="C124" s="21" t="s">
        <v>354</v>
      </c>
      <c r="D124" s="21"/>
      <c r="E124" s="21"/>
      <c r="F124" s="8" t="s">
        <v>72</v>
      </c>
      <c r="G124" s="21" t="s">
        <v>361</v>
      </c>
      <c r="H124" s="9" t="s">
        <v>511</v>
      </c>
      <c r="I124" s="40" t="s">
        <v>544</v>
      </c>
      <c r="J124" s="40"/>
      <c r="K124" s="24"/>
    </row>
    <row r="125" spans="1:11" ht="12.75" customHeight="1">
      <c r="A125" s="23"/>
      <c r="B125" s="21"/>
      <c r="C125" s="21"/>
      <c r="D125" s="21" t="s">
        <v>358</v>
      </c>
      <c r="E125" s="21"/>
      <c r="F125" s="8" t="s">
        <v>72</v>
      </c>
      <c r="G125" s="21" t="s">
        <v>362</v>
      </c>
      <c r="H125" s="9" t="s">
        <v>511</v>
      </c>
      <c r="I125" s="40"/>
      <c r="J125" s="40"/>
      <c r="K125" s="24"/>
    </row>
    <row r="126" spans="1:11" ht="12.75" customHeight="1">
      <c r="A126" s="23"/>
      <c r="B126" s="21"/>
      <c r="C126" s="21" t="s">
        <v>356</v>
      </c>
      <c r="D126" s="21"/>
      <c r="E126" s="21"/>
      <c r="F126" s="8" t="s">
        <v>72</v>
      </c>
      <c r="G126" s="21" t="s">
        <v>363</v>
      </c>
      <c r="H126" s="9" t="s">
        <v>511</v>
      </c>
      <c r="I126" s="40" t="s">
        <v>544</v>
      </c>
      <c r="J126" s="40"/>
      <c r="K126" s="24"/>
    </row>
    <row r="127" spans="1:11" ht="12.75" customHeight="1">
      <c r="A127" s="23"/>
      <c r="B127" s="21"/>
      <c r="C127" s="27"/>
      <c r="D127" s="21" t="s">
        <v>358</v>
      </c>
      <c r="E127" s="21"/>
      <c r="F127" s="8" t="s">
        <v>72</v>
      </c>
      <c r="G127" s="21" t="s">
        <v>364</v>
      </c>
      <c r="H127" s="9" t="s">
        <v>511</v>
      </c>
      <c r="I127" s="40"/>
      <c r="J127" s="40"/>
      <c r="K127" s="24"/>
    </row>
    <row r="128" spans="1:11" ht="12.75" customHeight="1">
      <c r="A128" s="12" t="s">
        <v>149</v>
      </c>
      <c r="B128" s="10" t="s">
        <v>148</v>
      </c>
      <c r="C128" s="10"/>
      <c r="D128" s="10"/>
      <c r="E128" s="21"/>
      <c r="F128" s="13" t="s">
        <v>519</v>
      </c>
      <c r="G128" s="10"/>
      <c r="H128" s="9" t="s">
        <v>511</v>
      </c>
      <c r="I128" s="40"/>
      <c r="J128" s="40"/>
      <c r="K128" s="14"/>
    </row>
    <row r="129" spans="1:11" ht="12.75" customHeight="1">
      <c r="A129" s="12"/>
      <c r="B129" s="10"/>
      <c r="C129" s="10"/>
      <c r="D129" s="10"/>
      <c r="E129" s="21"/>
      <c r="F129" s="13"/>
      <c r="G129" s="10"/>
      <c r="H129" s="24"/>
      <c r="I129" s="22"/>
      <c r="J129" s="11"/>
      <c r="K129" s="14"/>
    </row>
    <row r="130" spans="1:11" ht="12.75" customHeight="1">
      <c r="A130" s="12"/>
      <c r="B130" s="10"/>
      <c r="C130" s="10"/>
      <c r="D130" s="10"/>
      <c r="E130" s="21"/>
      <c r="F130" s="13"/>
      <c r="G130" s="10"/>
      <c r="H130" s="24"/>
      <c r="I130" s="22"/>
      <c r="J130" s="11"/>
      <c r="K130" s="14"/>
    </row>
    <row r="131" spans="1:11" ht="12.75" customHeight="1">
      <c r="A131" s="12"/>
      <c r="B131" s="10"/>
      <c r="C131" s="10"/>
      <c r="D131" s="10"/>
      <c r="E131" s="21"/>
      <c r="F131" s="13"/>
      <c r="G131" s="10"/>
      <c r="H131" s="24"/>
      <c r="I131" s="22"/>
      <c r="J131" s="11"/>
      <c r="K131" s="14"/>
    </row>
    <row r="132" spans="1:11" ht="12.75" customHeight="1">
      <c r="A132" s="12"/>
      <c r="B132" s="10"/>
      <c r="C132" s="10"/>
      <c r="D132" s="10"/>
      <c r="E132" s="21"/>
      <c r="F132" s="13"/>
      <c r="G132" s="10"/>
      <c r="H132" s="24"/>
      <c r="I132" s="22"/>
      <c r="J132" s="11"/>
      <c r="K132" s="14"/>
    </row>
    <row r="133" spans="1:11" ht="12.75" customHeight="1">
      <c r="A133" s="12"/>
      <c r="B133" s="10"/>
      <c r="C133" s="10"/>
      <c r="D133" s="10"/>
      <c r="E133" s="21"/>
      <c r="F133" s="13"/>
      <c r="G133" s="10"/>
      <c r="H133" s="24"/>
      <c r="I133" s="22"/>
      <c r="J133" s="11"/>
      <c r="K133" s="14"/>
    </row>
    <row r="134" spans="1:11" ht="12.75" customHeight="1">
      <c r="A134" s="12"/>
      <c r="B134" s="10"/>
      <c r="C134" s="10"/>
      <c r="D134" s="10"/>
      <c r="E134" s="21"/>
      <c r="F134" s="13"/>
      <c r="G134" s="10"/>
      <c r="H134" s="24"/>
      <c r="I134" s="22"/>
      <c r="J134" s="11"/>
      <c r="K134" s="14"/>
    </row>
    <row r="135" spans="1:11" ht="12.75" customHeight="1">
      <c r="A135" s="12"/>
      <c r="B135" s="10"/>
      <c r="C135" s="10"/>
      <c r="D135" s="10"/>
      <c r="E135" s="21"/>
      <c r="F135" s="13"/>
      <c r="G135" s="10"/>
      <c r="H135" s="24"/>
      <c r="I135" s="22"/>
      <c r="J135" s="11"/>
      <c r="K135" s="14"/>
    </row>
    <row r="136" spans="1:11" ht="12.75" customHeight="1">
      <c r="A136" s="12"/>
      <c r="B136" s="10"/>
      <c r="C136" s="10"/>
      <c r="D136" s="10"/>
      <c r="E136" s="21"/>
      <c r="F136" s="13"/>
      <c r="G136" s="10"/>
      <c r="H136" s="24"/>
      <c r="I136" s="22"/>
      <c r="J136" s="11"/>
      <c r="K136" s="14"/>
    </row>
    <row r="137" spans="1:11" ht="12.75" customHeight="1">
      <c r="A137" s="12"/>
      <c r="B137" s="10"/>
      <c r="C137" s="10"/>
      <c r="D137" s="10"/>
      <c r="E137" s="21"/>
      <c r="F137" s="13"/>
      <c r="G137" s="10"/>
      <c r="H137" s="24"/>
      <c r="I137" s="22"/>
      <c r="J137" s="11"/>
      <c r="K137" s="14"/>
    </row>
    <row r="138" spans="1:11" ht="12.75" customHeight="1">
      <c r="A138" s="12"/>
      <c r="B138" s="10"/>
      <c r="C138" s="10"/>
      <c r="D138" s="10"/>
      <c r="E138" s="21"/>
      <c r="F138" s="13"/>
      <c r="G138" s="10"/>
      <c r="H138" s="24"/>
      <c r="I138" s="22"/>
      <c r="J138" s="11"/>
      <c r="K138" s="14"/>
    </row>
    <row r="139" spans="1:11" ht="12.75" customHeight="1">
      <c r="A139" s="12"/>
      <c r="B139" s="10"/>
      <c r="C139" s="10"/>
      <c r="D139" s="10"/>
      <c r="E139" s="21"/>
      <c r="F139" s="13"/>
      <c r="G139" s="10"/>
      <c r="H139" s="24"/>
      <c r="I139" s="22"/>
      <c r="J139" s="11"/>
      <c r="K139" s="14"/>
    </row>
    <row r="140" spans="1:11" ht="12.75" customHeight="1">
      <c r="A140" s="12"/>
      <c r="B140" s="10"/>
      <c r="C140" s="10"/>
      <c r="D140" s="10"/>
      <c r="E140" s="21"/>
      <c r="F140" s="13"/>
      <c r="G140" s="10"/>
      <c r="H140" s="24"/>
      <c r="I140" s="22"/>
      <c r="J140" s="11"/>
      <c r="K140" s="14"/>
    </row>
    <row r="141" spans="1:11" ht="12.75" customHeight="1">
      <c r="A141" s="12"/>
      <c r="B141" s="10"/>
      <c r="C141" s="10"/>
      <c r="D141" s="10"/>
      <c r="E141" s="21"/>
      <c r="F141" s="13"/>
      <c r="G141" s="10"/>
      <c r="H141" s="24"/>
      <c r="I141" s="22"/>
      <c r="J141" s="11"/>
      <c r="K141" s="14"/>
    </row>
    <row r="142" spans="1:11" ht="12.75" customHeight="1">
      <c r="A142" s="12"/>
      <c r="B142" s="10"/>
      <c r="C142" s="10"/>
      <c r="D142" s="10"/>
      <c r="E142" s="21"/>
      <c r="F142" s="13"/>
      <c r="G142" s="10"/>
      <c r="H142" s="24"/>
      <c r="I142" s="22"/>
      <c r="J142" s="11"/>
      <c r="K142" s="14"/>
    </row>
    <row r="143" spans="1:11" ht="12.75" customHeight="1">
      <c r="A143" s="12"/>
      <c r="B143" s="10"/>
      <c r="C143" s="10"/>
      <c r="D143" s="10"/>
      <c r="E143" s="21"/>
      <c r="F143" s="13"/>
      <c r="G143" s="10"/>
      <c r="H143" s="24"/>
      <c r="I143" s="22"/>
      <c r="J143" s="11"/>
      <c r="K143" s="14"/>
    </row>
    <row r="144" spans="1:11" ht="12.75" customHeight="1">
      <c r="A144" s="12"/>
      <c r="B144" s="10"/>
      <c r="C144" s="10"/>
      <c r="D144" s="10"/>
      <c r="E144" s="21"/>
      <c r="F144" s="13"/>
      <c r="G144" s="10"/>
      <c r="H144" s="24"/>
      <c r="I144" s="22"/>
      <c r="J144" s="11"/>
      <c r="K144" s="14"/>
    </row>
    <row r="145" spans="1:11" ht="12.75" customHeight="1">
      <c r="A145" s="12"/>
      <c r="B145" s="10"/>
      <c r="C145" s="10"/>
      <c r="D145" s="10"/>
      <c r="E145" s="21"/>
      <c r="F145" s="13"/>
      <c r="G145" s="10"/>
      <c r="H145" s="24"/>
      <c r="I145" s="22"/>
      <c r="J145" s="11"/>
      <c r="K145" s="14"/>
    </row>
    <row r="146" spans="1:11" ht="12.75" customHeight="1">
      <c r="A146" s="12"/>
      <c r="B146" s="10"/>
      <c r="C146" s="10"/>
      <c r="D146" s="10"/>
      <c r="E146" s="21"/>
      <c r="F146" s="13"/>
      <c r="G146" s="10"/>
      <c r="H146" s="24"/>
      <c r="I146" s="22"/>
      <c r="J146" s="11"/>
      <c r="K146" s="14"/>
    </row>
    <row r="147" spans="1:11" ht="12.75" customHeight="1">
      <c r="A147" s="12"/>
      <c r="B147" s="10"/>
      <c r="C147" s="10"/>
      <c r="D147" s="10"/>
      <c r="E147" s="21"/>
      <c r="F147" s="13"/>
      <c r="G147" s="10"/>
      <c r="H147" s="24"/>
      <c r="I147" s="22"/>
      <c r="J147" s="11"/>
      <c r="K147" s="14"/>
    </row>
    <row r="148" spans="1:11" ht="12.75" customHeight="1">
      <c r="A148" s="12"/>
      <c r="B148" s="10"/>
      <c r="C148" s="10"/>
      <c r="D148" s="10"/>
      <c r="E148" s="21"/>
      <c r="F148" s="13"/>
      <c r="G148" s="10"/>
      <c r="H148" s="24"/>
      <c r="I148" s="22"/>
      <c r="J148" s="11"/>
      <c r="K148" s="14"/>
    </row>
    <row r="149" spans="1:11" ht="12.75" customHeight="1">
      <c r="A149" s="12"/>
      <c r="B149" s="10"/>
      <c r="C149" s="10"/>
      <c r="D149" s="10"/>
      <c r="E149" s="21"/>
      <c r="F149" s="13"/>
      <c r="G149" s="10"/>
      <c r="H149" s="24"/>
      <c r="I149" s="22"/>
      <c r="J149" s="11"/>
      <c r="K149" s="14"/>
    </row>
    <row r="150" spans="1:11" ht="12.75" customHeight="1">
      <c r="A150" s="12"/>
      <c r="B150" s="10"/>
      <c r="C150" s="10"/>
      <c r="D150" s="10"/>
      <c r="E150" s="21"/>
      <c r="F150" s="13"/>
      <c r="G150" s="10"/>
      <c r="H150" s="24"/>
      <c r="I150" s="22"/>
      <c r="J150" s="11"/>
      <c r="K150" s="14"/>
    </row>
    <row r="151" spans="1:11" ht="12.75" customHeight="1">
      <c r="A151" s="12"/>
      <c r="B151" s="10"/>
      <c r="C151" s="10"/>
      <c r="D151" s="10"/>
      <c r="E151" s="21"/>
      <c r="F151" s="13"/>
      <c r="G151" s="10"/>
      <c r="H151" s="24"/>
      <c r="I151" s="22"/>
      <c r="J151" s="11"/>
      <c r="K151" s="14"/>
    </row>
    <row r="152" spans="1:11" ht="12.75" customHeight="1">
      <c r="A152" s="12"/>
      <c r="B152" s="10"/>
      <c r="C152" s="10"/>
      <c r="D152" s="10"/>
      <c r="E152" s="21"/>
      <c r="F152" s="13"/>
      <c r="G152" s="10"/>
      <c r="H152" s="24"/>
      <c r="I152" s="22"/>
      <c r="J152" s="11"/>
      <c r="K152" s="14"/>
    </row>
    <row r="153" spans="1:11" ht="12.75" customHeight="1">
      <c r="A153" s="12"/>
      <c r="B153" s="10"/>
      <c r="C153" s="10"/>
      <c r="D153" s="10"/>
      <c r="E153" s="21"/>
      <c r="F153" s="13"/>
      <c r="G153" s="10"/>
      <c r="H153" s="24"/>
      <c r="I153" s="22"/>
      <c r="J153" s="11"/>
      <c r="K153" s="14"/>
    </row>
    <row r="154" spans="1:11" ht="12.75" customHeight="1">
      <c r="A154" s="12"/>
      <c r="B154" s="10"/>
      <c r="C154" s="10"/>
      <c r="D154" s="10"/>
      <c r="E154" s="21"/>
      <c r="F154" s="13"/>
      <c r="G154" s="10"/>
      <c r="H154" s="24"/>
      <c r="I154" s="22"/>
      <c r="J154" s="11"/>
      <c r="K154" s="14"/>
    </row>
    <row r="155" spans="1:11" ht="12.75" customHeight="1">
      <c r="A155" s="12"/>
      <c r="B155" s="10"/>
      <c r="C155" s="10"/>
      <c r="D155" s="10"/>
      <c r="E155" s="21"/>
      <c r="F155" s="13"/>
      <c r="G155" s="10"/>
      <c r="H155" s="24"/>
      <c r="I155" s="22"/>
      <c r="J155" s="11"/>
      <c r="K155" s="14"/>
    </row>
    <row r="156" spans="1:11" ht="12.75" customHeight="1">
      <c r="A156" s="12"/>
      <c r="B156" s="10"/>
      <c r="C156" s="10"/>
      <c r="D156" s="10"/>
      <c r="E156" s="21"/>
      <c r="F156" s="13"/>
      <c r="G156" s="10"/>
      <c r="H156" s="24"/>
      <c r="I156" s="22"/>
      <c r="J156" s="11"/>
      <c r="K156" s="14"/>
    </row>
    <row r="157" spans="1:11" ht="12.75" customHeight="1">
      <c r="A157" s="12"/>
      <c r="B157" s="10"/>
      <c r="C157" s="10"/>
      <c r="D157" s="10"/>
      <c r="E157" s="21"/>
      <c r="F157" s="13"/>
      <c r="G157" s="10"/>
      <c r="H157" s="24"/>
      <c r="I157" s="22"/>
      <c r="J157" s="11"/>
      <c r="K157" s="14"/>
    </row>
    <row r="158" spans="1:11" ht="12.75" customHeight="1">
      <c r="A158" s="12"/>
      <c r="B158" s="10"/>
      <c r="C158" s="10"/>
      <c r="D158" s="10"/>
      <c r="E158" s="21"/>
      <c r="F158" s="13"/>
      <c r="G158" s="10"/>
      <c r="H158" s="24"/>
      <c r="I158" s="22"/>
      <c r="J158" s="11"/>
      <c r="K158" s="14"/>
    </row>
    <row r="159" spans="1:11" ht="12.75" customHeight="1">
      <c r="A159" s="12"/>
      <c r="B159" s="10"/>
      <c r="C159" s="10"/>
      <c r="D159" s="10"/>
      <c r="E159" s="21"/>
      <c r="F159" s="13"/>
      <c r="G159" s="10"/>
      <c r="H159" s="24"/>
      <c r="I159" s="22"/>
      <c r="J159" s="11"/>
      <c r="K159" s="14"/>
    </row>
    <row r="160" spans="1:11" ht="12.75" customHeight="1">
      <c r="A160" s="12"/>
      <c r="B160" s="10"/>
      <c r="C160" s="10"/>
      <c r="D160" s="10"/>
      <c r="E160" s="21"/>
      <c r="F160" s="13"/>
      <c r="G160" s="10"/>
      <c r="H160" s="24"/>
      <c r="I160" s="22"/>
      <c r="J160" s="11"/>
      <c r="K160" s="14"/>
    </row>
    <row r="161" spans="1:11" ht="12.75" customHeight="1">
      <c r="A161" s="12"/>
      <c r="B161" s="10"/>
      <c r="C161" s="10"/>
      <c r="D161" s="10"/>
      <c r="E161" s="21"/>
      <c r="F161" s="13"/>
      <c r="G161" s="10"/>
      <c r="H161" s="24"/>
      <c r="I161" s="22"/>
      <c r="J161" s="11"/>
      <c r="K161" s="14"/>
    </row>
    <row r="162" spans="1:11" ht="12.75" customHeight="1">
      <c r="A162" s="12"/>
      <c r="B162" s="10"/>
      <c r="C162" s="10"/>
      <c r="D162" s="10"/>
      <c r="E162" s="21"/>
      <c r="F162" s="13"/>
      <c r="G162" s="10"/>
      <c r="H162" s="24"/>
      <c r="I162" s="22"/>
      <c r="J162" s="11"/>
      <c r="K162" s="14"/>
    </row>
    <row r="163" spans="1:11" ht="12.75" customHeight="1">
      <c r="A163" s="12"/>
      <c r="B163" s="10"/>
      <c r="C163" s="10"/>
      <c r="D163" s="10"/>
      <c r="E163" s="21"/>
      <c r="F163" s="13"/>
      <c r="G163" s="10"/>
      <c r="H163" s="24"/>
      <c r="I163" s="22"/>
      <c r="J163" s="11"/>
      <c r="K163" s="14"/>
    </row>
    <row r="164" spans="1:11" ht="12.75" customHeight="1">
      <c r="A164" s="12"/>
      <c r="B164" s="10"/>
      <c r="C164" s="10"/>
      <c r="D164" s="10"/>
      <c r="E164" s="21"/>
      <c r="F164" s="13"/>
      <c r="G164" s="10"/>
      <c r="H164" s="24"/>
      <c r="I164" s="22"/>
      <c r="J164" s="11"/>
      <c r="K164" s="14"/>
    </row>
    <row r="165" spans="1:11" ht="12.75" customHeight="1">
      <c r="A165" s="12"/>
      <c r="B165" s="10"/>
      <c r="C165" s="10"/>
      <c r="D165" s="10"/>
      <c r="E165" s="21"/>
      <c r="F165" s="13"/>
      <c r="G165" s="10"/>
      <c r="H165" s="24"/>
      <c r="I165" s="22"/>
      <c r="J165" s="11"/>
      <c r="K165" s="14"/>
    </row>
    <row r="166" spans="1:11" ht="12.75" customHeight="1">
      <c r="A166" s="12"/>
      <c r="B166" s="10"/>
      <c r="C166" s="10"/>
      <c r="D166" s="10"/>
      <c r="E166" s="21"/>
      <c r="F166" s="13"/>
      <c r="G166" s="10"/>
      <c r="H166" s="24"/>
      <c r="I166" s="22"/>
      <c r="J166" s="11"/>
      <c r="K166" s="14"/>
    </row>
    <row r="167" spans="1:11" ht="12.75" customHeight="1">
      <c r="A167" s="12"/>
      <c r="B167" s="10"/>
      <c r="C167" s="10"/>
      <c r="D167" s="10"/>
      <c r="E167" s="21"/>
      <c r="F167" s="13"/>
      <c r="G167" s="10"/>
      <c r="H167" s="24"/>
      <c r="I167" s="22"/>
      <c r="J167" s="11"/>
      <c r="K167" s="14"/>
    </row>
    <row r="168" spans="1:11" ht="12.75" customHeight="1">
      <c r="A168" s="12"/>
      <c r="B168" s="10"/>
      <c r="C168" s="10"/>
      <c r="D168" s="10"/>
      <c r="E168" s="21"/>
      <c r="F168" s="13"/>
      <c r="G168" s="10"/>
      <c r="H168" s="24"/>
      <c r="I168" s="22"/>
      <c r="J168" s="11"/>
      <c r="K168" s="14"/>
    </row>
    <row r="169" spans="1:11" ht="12.75" customHeight="1">
      <c r="A169" s="12"/>
      <c r="B169" s="10"/>
      <c r="C169" s="10"/>
      <c r="D169" s="10"/>
      <c r="E169" s="21"/>
      <c r="F169" s="13"/>
      <c r="G169" s="10"/>
      <c r="H169" s="24"/>
      <c r="I169" s="22"/>
      <c r="J169" s="11"/>
      <c r="K169" s="14"/>
    </row>
    <row r="170" spans="1:11" ht="12.75" customHeight="1">
      <c r="A170" s="12"/>
      <c r="B170" s="10"/>
      <c r="C170" s="10"/>
      <c r="D170" s="10"/>
      <c r="E170" s="21"/>
      <c r="F170" s="13"/>
      <c r="G170" s="10"/>
      <c r="H170" s="24"/>
      <c r="I170" s="22"/>
      <c r="J170" s="11"/>
      <c r="K170" s="14"/>
    </row>
    <row r="171" spans="1:11" ht="12.75" customHeight="1">
      <c r="A171" s="12"/>
      <c r="B171" s="10"/>
      <c r="C171" s="10"/>
      <c r="D171" s="10"/>
      <c r="E171" s="21"/>
      <c r="F171" s="13"/>
      <c r="G171" s="10"/>
      <c r="H171" s="24"/>
      <c r="I171" s="22"/>
      <c r="J171" s="11"/>
      <c r="K171" s="14"/>
    </row>
    <row r="172" spans="1:11" ht="12.75" customHeight="1">
      <c r="A172" s="12"/>
      <c r="B172" s="10"/>
      <c r="C172" s="10"/>
      <c r="D172" s="10"/>
      <c r="E172" s="21"/>
      <c r="F172" s="13"/>
      <c r="G172" s="10"/>
      <c r="H172" s="24"/>
      <c r="I172" s="22"/>
      <c r="J172" s="11"/>
      <c r="K172" s="14"/>
    </row>
    <row r="173" spans="1:11" ht="12.75" customHeight="1">
      <c r="A173" s="12"/>
      <c r="B173" s="10"/>
      <c r="C173" s="10"/>
      <c r="D173" s="10"/>
      <c r="E173" s="21"/>
      <c r="F173" s="13"/>
      <c r="G173" s="10"/>
      <c r="H173" s="24"/>
      <c r="I173" s="22"/>
      <c r="J173" s="11"/>
      <c r="K173" s="14"/>
    </row>
    <row r="174" spans="1:11" ht="12.75" customHeight="1">
      <c r="A174" s="12"/>
      <c r="B174" s="10"/>
      <c r="C174" s="10"/>
      <c r="D174" s="10"/>
      <c r="E174" s="21"/>
      <c r="F174" s="13"/>
      <c r="G174" s="10"/>
      <c r="H174" s="24"/>
      <c r="I174" s="22"/>
      <c r="J174" s="11"/>
      <c r="K174" s="14"/>
    </row>
    <row r="175" spans="1:11" ht="12.75" customHeight="1">
      <c r="A175" s="12"/>
      <c r="B175" s="10"/>
      <c r="C175" s="10"/>
      <c r="D175" s="10"/>
      <c r="E175" s="21"/>
      <c r="F175" s="13"/>
      <c r="G175" s="10"/>
      <c r="H175" s="24"/>
      <c r="I175" s="22"/>
      <c r="J175" s="11"/>
      <c r="K175" s="14"/>
    </row>
    <row r="176" spans="1:11" ht="12.75" customHeight="1">
      <c r="A176" s="12"/>
      <c r="B176" s="15"/>
      <c r="C176" s="15"/>
      <c r="D176" s="10"/>
      <c r="E176" s="21"/>
      <c r="F176" s="13"/>
      <c r="G176" s="10"/>
      <c r="H176" s="24"/>
      <c r="I176" s="22"/>
      <c r="J176" s="11"/>
      <c r="K176" s="14"/>
    </row>
    <row r="177" spans="1:11" ht="12.75" customHeight="1">
      <c r="A177" s="12"/>
      <c r="B177" s="15"/>
      <c r="C177" s="15"/>
      <c r="D177" s="10"/>
      <c r="E177" s="21"/>
      <c r="F177" s="13"/>
      <c r="G177" s="10"/>
      <c r="H177" s="24"/>
      <c r="I177" s="22"/>
      <c r="J177" s="11"/>
      <c r="K177" s="14"/>
    </row>
    <row r="178" spans="1:11" ht="12.75" customHeight="1">
      <c r="A178" s="12"/>
      <c r="B178" s="15"/>
      <c r="C178" s="15"/>
      <c r="D178" s="10"/>
      <c r="E178" s="21"/>
      <c r="F178" s="13"/>
      <c r="G178" s="10"/>
      <c r="H178" s="24"/>
      <c r="I178" s="22"/>
      <c r="J178" s="11"/>
      <c r="K178" s="14"/>
    </row>
    <row r="179" spans="1:11" ht="12.75" customHeight="1">
      <c r="A179" s="12"/>
      <c r="B179" s="15"/>
      <c r="C179" s="15"/>
      <c r="D179" s="10"/>
      <c r="E179" s="21"/>
      <c r="F179" s="13"/>
      <c r="G179" s="10"/>
      <c r="H179" s="24"/>
      <c r="I179" s="22"/>
      <c r="J179" s="11"/>
      <c r="K179" s="14"/>
    </row>
    <row r="180" spans="1:11" ht="12.75" customHeight="1">
      <c r="A180" s="12"/>
      <c r="B180" s="15"/>
      <c r="C180" s="15"/>
      <c r="D180" s="10"/>
      <c r="E180" s="21"/>
      <c r="F180" s="13"/>
      <c r="G180" s="10"/>
      <c r="H180" s="24"/>
      <c r="I180" s="22"/>
      <c r="J180" s="11"/>
      <c r="K180" s="14"/>
    </row>
    <row r="181" spans="1:11" ht="12.75" customHeight="1">
      <c r="A181" s="12"/>
      <c r="B181" s="15"/>
      <c r="C181" s="15"/>
      <c r="D181" s="10"/>
      <c r="E181" s="21"/>
      <c r="F181" s="13"/>
      <c r="G181" s="10"/>
      <c r="H181" s="24"/>
      <c r="I181" s="22"/>
      <c r="J181" s="11"/>
      <c r="K181" s="14"/>
    </row>
    <row r="182" spans="1:11" ht="12.75" customHeight="1">
      <c r="A182" s="12"/>
      <c r="B182" s="15"/>
      <c r="C182" s="15"/>
      <c r="D182" s="10"/>
      <c r="E182" s="21"/>
      <c r="F182" s="13"/>
      <c r="G182" s="10"/>
      <c r="H182" s="24"/>
      <c r="I182" s="22"/>
      <c r="J182" s="11"/>
      <c r="K182" s="14"/>
    </row>
    <row r="183" spans="1:11" ht="12.75" customHeight="1">
      <c r="A183" s="12"/>
      <c r="B183" s="15"/>
      <c r="C183" s="15"/>
      <c r="D183" s="10"/>
      <c r="E183" s="21"/>
      <c r="F183" s="13"/>
      <c r="G183" s="10"/>
      <c r="H183" s="24"/>
      <c r="I183" s="22"/>
      <c r="J183" s="11"/>
      <c r="K183" s="14"/>
    </row>
    <row r="184" spans="1:11" ht="12.75" customHeight="1">
      <c r="A184" s="12"/>
      <c r="B184" s="15"/>
      <c r="C184" s="15"/>
      <c r="D184" s="10"/>
      <c r="E184" s="21"/>
      <c r="F184" s="13"/>
      <c r="G184" s="10"/>
      <c r="H184" s="24"/>
      <c r="I184" s="22"/>
      <c r="J184" s="11"/>
      <c r="K184" s="14"/>
    </row>
    <row r="185" spans="1:11" ht="12.75" customHeight="1">
      <c r="A185" s="12"/>
      <c r="B185" s="15"/>
      <c r="C185" s="15"/>
      <c r="D185" s="10"/>
      <c r="E185" s="21"/>
      <c r="F185" s="13"/>
      <c r="G185" s="10"/>
      <c r="H185" s="24"/>
      <c r="I185" s="22"/>
      <c r="J185" s="11"/>
      <c r="K185" s="14"/>
    </row>
    <row r="186" spans="1:11" ht="12.75" customHeight="1">
      <c r="A186" s="12"/>
      <c r="B186" s="15"/>
      <c r="C186" s="15"/>
      <c r="D186" s="10"/>
      <c r="E186" s="21"/>
      <c r="F186" s="13"/>
      <c r="G186" s="10"/>
      <c r="H186" s="24"/>
      <c r="I186" s="22"/>
      <c r="J186" s="11"/>
      <c r="K186" s="14"/>
    </row>
    <row r="187" spans="1:11" ht="12.75" customHeight="1">
      <c r="A187" s="12"/>
      <c r="B187" s="15"/>
      <c r="C187" s="15"/>
      <c r="D187" s="10"/>
      <c r="E187" s="21"/>
      <c r="F187" s="13"/>
      <c r="G187" s="10"/>
      <c r="H187" s="24"/>
      <c r="I187" s="22"/>
      <c r="J187" s="11"/>
      <c r="K187" s="14"/>
    </row>
    <row r="188" spans="1:11" ht="12.75" customHeight="1">
      <c r="A188" s="12"/>
      <c r="B188" s="15"/>
      <c r="C188" s="15"/>
      <c r="D188" s="10"/>
      <c r="E188" s="21"/>
      <c r="F188" s="13"/>
      <c r="G188" s="10"/>
      <c r="H188" s="24"/>
      <c r="I188" s="22"/>
      <c r="J188" s="11"/>
      <c r="K188" s="14"/>
    </row>
    <row r="189" spans="1:11" ht="12.75" customHeight="1">
      <c r="A189" s="12"/>
      <c r="B189" s="15"/>
      <c r="C189" s="15"/>
      <c r="D189" s="10"/>
      <c r="E189" s="21"/>
      <c r="F189" s="13"/>
      <c r="G189" s="10"/>
      <c r="H189" s="24"/>
      <c r="I189" s="22"/>
      <c r="J189" s="11"/>
      <c r="K189" s="14"/>
    </row>
  </sheetData>
  <mergeCells count="18">
    <mergeCell ref="K11:K12"/>
    <mergeCell ref="A1:E2"/>
    <mergeCell ref="F1:F2"/>
    <mergeCell ref="G1:G2"/>
    <mergeCell ref="H1:H2"/>
    <mergeCell ref="I1:J1"/>
    <mergeCell ref="K1:K2"/>
    <mergeCell ref="K3:K9"/>
    <mergeCell ref="F9:G9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6" fitToHeight="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이네트너클라우드</vt:lpstr>
      <vt:lpstr>마이클라우드</vt:lpstr>
      <vt:lpstr>관리자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2012-01-30T07:17:37Z</cp:lastPrinted>
  <dcterms:created xsi:type="dcterms:W3CDTF">2011-11-28T05:20:26Z</dcterms:created>
  <dcterms:modified xsi:type="dcterms:W3CDTF">2012-02-06T08:49:12Z</dcterms:modified>
</cp:coreProperties>
</file>